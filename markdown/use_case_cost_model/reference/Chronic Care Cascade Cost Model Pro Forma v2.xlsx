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keHunter\Downloads\"/>
    </mc:Choice>
  </mc:AlternateContent>
  <xr:revisionPtr revIDLastSave="0" documentId="13_ncr:1_{5DBAD6C5-FD9A-4228-A842-71DCCD48BB52}" xr6:coauthVersionLast="47" xr6:coauthVersionMax="47" xr10:uidLastSave="{00000000-0000-0000-0000-000000000000}"/>
  <bookViews>
    <workbookView xWindow="-110" yWindow="-110" windowWidth="22780" windowHeight="15260" tabRatio="809" xr2:uid="{00000000-000D-0000-FFFF-FFFF00000000}"/>
  </bookViews>
  <sheets>
    <sheet name="Executive Summary" sheetId="1" r:id="rId1"/>
    <sheet name="Scenario Definitions" sheetId="2" r:id="rId2"/>
    <sheet name="Assumptions &amp; Inputs" sheetId="3" r:id="rId3"/>
    <sheet name="Cost Build-Up" sheetId="6" state="hidden" r:id="rId4"/>
    <sheet name="Optional Add-Ons Build-Up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B30" i="1" s="1"/>
  <c r="D63" i="1"/>
  <c r="C63" i="1"/>
  <c r="D62" i="1"/>
  <c r="C62" i="1"/>
  <c r="D61" i="1"/>
  <c r="C61" i="1"/>
  <c r="D60" i="1"/>
  <c r="C60" i="1"/>
  <c r="Y16" i="7"/>
  <c r="X16" i="7"/>
  <c r="W16" i="7"/>
  <c r="V16" i="7"/>
  <c r="U16" i="7"/>
  <c r="T16" i="7"/>
  <c r="Y15" i="7"/>
  <c r="X15" i="7"/>
  <c r="W15" i="7"/>
  <c r="V15" i="7"/>
  <c r="U15" i="7"/>
  <c r="T15" i="7"/>
  <c r="Y14" i="7"/>
  <c r="X14" i="7"/>
  <c r="W14" i="7"/>
  <c r="V14" i="7"/>
  <c r="U14" i="7"/>
  <c r="T14" i="7"/>
  <c r="Y13" i="7"/>
  <c r="X13" i="7"/>
  <c r="W13" i="7"/>
  <c r="V13" i="7"/>
  <c r="U13" i="7"/>
  <c r="T13" i="7"/>
  <c r="Y12" i="7"/>
  <c r="X12" i="7"/>
  <c r="W12" i="7"/>
  <c r="V12" i="7"/>
  <c r="U12" i="7"/>
  <c r="T12" i="7"/>
  <c r="Y11" i="7"/>
  <c r="X11" i="7"/>
  <c r="W11" i="7"/>
  <c r="V11" i="7"/>
  <c r="U11" i="7"/>
  <c r="T11" i="7"/>
  <c r="Y10" i="7"/>
  <c r="X10" i="7"/>
  <c r="W10" i="7"/>
  <c r="V10" i="7"/>
  <c r="U10" i="7"/>
  <c r="T10" i="7"/>
  <c r="Y9" i="7"/>
  <c r="X9" i="7"/>
  <c r="W9" i="7"/>
  <c r="V9" i="7"/>
  <c r="U9" i="7"/>
  <c r="T9" i="7"/>
  <c r="Y8" i="7"/>
  <c r="X8" i="7"/>
  <c r="W8" i="7"/>
  <c r="V8" i="7"/>
  <c r="U8" i="7"/>
  <c r="T8" i="7"/>
  <c r="Y7" i="7"/>
  <c r="X7" i="7"/>
  <c r="W7" i="7"/>
  <c r="V7" i="7"/>
  <c r="U7" i="7"/>
  <c r="T7" i="7"/>
  <c r="Y6" i="7"/>
  <c r="X6" i="7"/>
  <c r="W6" i="7"/>
  <c r="V6" i="7"/>
  <c r="U6" i="7"/>
  <c r="T6" i="7"/>
  <c r="Y5" i="7"/>
  <c r="X5" i="7"/>
  <c r="W5" i="7"/>
  <c r="V5" i="7"/>
  <c r="U5" i="7"/>
  <c r="T5" i="7"/>
  <c r="BT77" i="6"/>
  <c r="BS77" i="6"/>
  <c r="BR77" i="6"/>
  <c r="BQ77" i="6"/>
  <c r="BP77" i="6"/>
  <c r="BO77" i="6"/>
  <c r="AZ77" i="6"/>
  <c r="AS77" i="6"/>
  <c r="AH77" i="6"/>
  <c r="AQ77" i="6" s="1"/>
  <c r="AV77" i="6" s="1"/>
  <c r="AG77" i="6"/>
  <c r="AP77" i="6" s="1"/>
  <c r="AF77" i="6"/>
  <c r="AO77" i="6" s="1"/>
  <c r="AE77" i="6"/>
  <c r="BT76" i="6"/>
  <c r="BS76" i="6"/>
  <c r="BR76" i="6"/>
  <c r="BQ76" i="6"/>
  <c r="BP76" i="6"/>
  <c r="BO76" i="6"/>
  <c r="AZ76" i="6"/>
  <c r="AS76" i="6"/>
  <c r="AH76" i="6"/>
  <c r="AG76" i="6"/>
  <c r="AP76" i="6" s="1"/>
  <c r="AF76" i="6"/>
  <c r="AO76" i="6" s="1"/>
  <c r="AE76" i="6"/>
  <c r="BT75" i="6"/>
  <c r="BS75" i="6"/>
  <c r="BR75" i="6"/>
  <c r="BQ75" i="6"/>
  <c r="BP75" i="6"/>
  <c r="BO75" i="6"/>
  <c r="AZ75" i="6"/>
  <c r="AS75" i="6"/>
  <c r="AH75" i="6"/>
  <c r="AQ75" i="6" s="1"/>
  <c r="AG75" i="6"/>
  <c r="AF75" i="6"/>
  <c r="AE75" i="6"/>
  <c r="BT74" i="6"/>
  <c r="BS74" i="6"/>
  <c r="BR74" i="6"/>
  <c r="BQ74" i="6"/>
  <c r="BP74" i="6"/>
  <c r="BO74" i="6"/>
  <c r="AZ74" i="6"/>
  <c r="AS74" i="6"/>
  <c r="AH74" i="6"/>
  <c r="AG74" i="6"/>
  <c r="AF74" i="6"/>
  <c r="AO74" i="6" s="1"/>
  <c r="AE74" i="6"/>
  <c r="BT73" i="6"/>
  <c r="BS73" i="6"/>
  <c r="BR73" i="6"/>
  <c r="BQ73" i="6"/>
  <c r="BP73" i="6"/>
  <c r="BO73" i="6"/>
  <c r="AZ73" i="6"/>
  <c r="AS73" i="6"/>
  <c r="AH73" i="6"/>
  <c r="AQ73" i="6" s="1"/>
  <c r="AG73" i="6"/>
  <c r="AF73" i="6"/>
  <c r="AO73" i="6" s="1"/>
  <c r="AT73" i="6" s="1"/>
  <c r="AE73" i="6"/>
  <c r="BT72" i="6"/>
  <c r="BS72" i="6"/>
  <c r="BR72" i="6"/>
  <c r="BQ72" i="6"/>
  <c r="BP72" i="6"/>
  <c r="BO72" i="6"/>
  <c r="AZ72" i="6"/>
  <c r="AS72" i="6"/>
  <c r="AH72" i="6"/>
  <c r="AQ72" i="6" s="1"/>
  <c r="AV72" i="6" s="1"/>
  <c r="AG72" i="6"/>
  <c r="AP72" i="6" s="1"/>
  <c r="AF72" i="6"/>
  <c r="AO72" i="6" s="1"/>
  <c r="AE72" i="6"/>
  <c r="BT71" i="6"/>
  <c r="BS71" i="6"/>
  <c r="BR71" i="6"/>
  <c r="BQ71" i="6"/>
  <c r="BP71" i="6"/>
  <c r="BO71" i="6"/>
  <c r="AZ71" i="6"/>
  <c r="AS71" i="6"/>
  <c r="AH71" i="6"/>
  <c r="AG71" i="6"/>
  <c r="AF71" i="6"/>
  <c r="AO71" i="6" s="1"/>
  <c r="AE71" i="6"/>
  <c r="BT70" i="6"/>
  <c r="BS70" i="6"/>
  <c r="BR70" i="6"/>
  <c r="BQ70" i="6"/>
  <c r="BP70" i="6"/>
  <c r="BO70" i="6"/>
  <c r="AZ70" i="6"/>
  <c r="AS70" i="6"/>
  <c r="AH70" i="6"/>
  <c r="AQ70" i="6" s="1"/>
  <c r="AV70" i="6" s="1"/>
  <c r="AG70" i="6"/>
  <c r="AP70" i="6" s="1"/>
  <c r="AU70" i="6" s="1"/>
  <c r="AF70" i="6"/>
  <c r="AO70" i="6" s="1"/>
  <c r="AE70" i="6"/>
  <c r="BT69" i="6"/>
  <c r="BS69" i="6"/>
  <c r="BR69" i="6"/>
  <c r="BQ69" i="6"/>
  <c r="BP69" i="6"/>
  <c r="BO69" i="6"/>
  <c r="AZ69" i="6"/>
  <c r="AS69" i="6"/>
  <c r="AH69" i="6"/>
  <c r="AG69" i="6"/>
  <c r="AF69" i="6"/>
  <c r="AO69" i="6" s="1"/>
  <c r="AE69" i="6"/>
  <c r="BT68" i="6"/>
  <c r="BS68" i="6"/>
  <c r="BR68" i="6"/>
  <c r="BQ68" i="6"/>
  <c r="BP68" i="6"/>
  <c r="BO68" i="6"/>
  <c r="AZ68" i="6"/>
  <c r="AS68" i="6"/>
  <c r="AH68" i="6"/>
  <c r="AG68" i="6"/>
  <c r="AP68" i="6" s="1"/>
  <c r="AF68" i="6"/>
  <c r="AE68" i="6"/>
  <c r="CI67" i="6"/>
  <c r="BW67" i="6"/>
  <c r="BV67" i="6"/>
  <c r="BU67" i="6"/>
  <c r="BT67" i="6"/>
  <c r="BS67" i="6"/>
  <c r="BR67" i="6"/>
  <c r="BQ67" i="6"/>
  <c r="BP67" i="6"/>
  <c r="BO67" i="6"/>
  <c r="AZ67" i="6"/>
  <c r="AS67" i="6"/>
  <c r="AH67" i="6"/>
  <c r="AQ67" i="6" s="1"/>
  <c r="AG67" i="6"/>
  <c r="AP67" i="6" s="1"/>
  <c r="AF67" i="6"/>
  <c r="AO67" i="6" s="1"/>
  <c r="AE67" i="6"/>
  <c r="BT66" i="6"/>
  <c r="BS66" i="6"/>
  <c r="BR66" i="6"/>
  <c r="BQ66" i="6"/>
  <c r="BP66" i="6"/>
  <c r="BO66" i="6"/>
  <c r="AZ66" i="6"/>
  <c r="AS66" i="6"/>
  <c r="AH66" i="6"/>
  <c r="AG66" i="6"/>
  <c r="AF66" i="6"/>
  <c r="AO66" i="6" s="1"/>
  <c r="AT66" i="6" s="1"/>
  <c r="BE66" i="6" s="1"/>
  <c r="AE66" i="6"/>
  <c r="BT65" i="6"/>
  <c r="BS65" i="6"/>
  <c r="BR65" i="6"/>
  <c r="BQ65" i="6"/>
  <c r="BP65" i="6"/>
  <c r="BO65" i="6"/>
  <c r="AZ65" i="6"/>
  <c r="AS65" i="6"/>
  <c r="AH65" i="6"/>
  <c r="AG65" i="6"/>
  <c r="AP65" i="6" s="1"/>
  <c r="AF65" i="6"/>
  <c r="AO65" i="6" s="1"/>
  <c r="AE65" i="6"/>
  <c r="BT64" i="6"/>
  <c r="BS64" i="6"/>
  <c r="BR64" i="6"/>
  <c r="BQ64" i="6"/>
  <c r="BP64" i="6"/>
  <c r="BO64" i="6"/>
  <c r="AZ64" i="6"/>
  <c r="AS64" i="6"/>
  <c r="AH64" i="6"/>
  <c r="AQ64" i="6" s="1"/>
  <c r="AV64" i="6" s="1"/>
  <c r="AG64" i="6"/>
  <c r="AP64" i="6" s="1"/>
  <c r="AF64" i="6"/>
  <c r="AO64" i="6" s="1"/>
  <c r="AE64" i="6"/>
  <c r="BT63" i="6"/>
  <c r="BS63" i="6"/>
  <c r="BR63" i="6"/>
  <c r="BQ63" i="6"/>
  <c r="BP63" i="6"/>
  <c r="BO63" i="6"/>
  <c r="AZ63" i="6"/>
  <c r="AS63" i="6"/>
  <c r="AH63" i="6"/>
  <c r="AG63" i="6"/>
  <c r="AF63" i="6"/>
  <c r="AE63" i="6"/>
  <c r="BT62" i="6"/>
  <c r="BS62" i="6"/>
  <c r="BR62" i="6"/>
  <c r="BQ62" i="6"/>
  <c r="BP62" i="6"/>
  <c r="BO62" i="6"/>
  <c r="AZ62" i="6"/>
  <c r="AS62" i="6"/>
  <c r="AH62" i="6"/>
  <c r="AG62" i="6"/>
  <c r="AF62" i="6"/>
  <c r="AO62" i="6" s="1"/>
  <c r="AE62" i="6"/>
  <c r="BZ61" i="6"/>
  <c r="BY61" i="6"/>
  <c r="BW61" i="6"/>
  <c r="BV61" i="6"/>
  <c r="BT61" i="6"/>
  <c r="BS61" i="6"/>
  <c r="BR61" i="6"/>
  <c r="BQ61" i="6"/>
  <c r="BP61" i="6"/>
  <c r="BX61" i="6" s="1"/>
  <c r="BO61" i="6"/>
  <c r="BU61" i="6" s="1"/>
  <c r="AZ61" i="6"/>
  <c r="AS61" i="6"/>
  <c r="AH61" i="6"/>
  <c r="AQ61" i="6" s="1"/>
  <c r="AG61" i="6"/>
  <c r="AF61" i="6"/>
  <c r="AE61" i="6"/>
  <c r="CF60" i="6"/>
  <c r="CE60" i="6"/>
  <c r="CD60" i="6"/>
  <c r="CB60" i="6"/>
  <c r="CA60" i="6"/>
  <c r="BW60" i="6"/>
  <c r="BV60" i="6"/>
  <c r="BU60" i="6"/>
  <c r="BT60" i="6"/>
  <c r="BS60" i="6"/>
  <c r="BR60" i="6"/>
  <c r="BQ60" i="6"/>
  <c r="CC60" i="6" s="1"/>
  <c r="BP60" i="6"/>
  <c r="BO60" i="6"/>
  <c r="AZ60" i="6"/>
  <c r="AS60" i="6"/>
  <c r="AH60" i="6"/>
  <c r="AQ60" i="6" s="1"/>
  <c r="AG60" i="6"/>
  <c r="AP60" i="6" s="1"/>
  <c r="AF60" i="6"/>
  <c r="AO60" i="6" s="1"/>
  <c r="AE60" i="6"/>
  <c r="BZ59" i="6"/>
  <c r="BW59" i="6"/>
  <c r="BT59" i="6"/>
  <c r="BS59" i="6"/>
  <c r="BR59" i="6"/>
  <c r="BQ59" i="6"/>
  <c r="BP59" i="6"/>
  <c r="BO59" i="6"/>
  <c r="AZ59" i="6"/>
  <c r="AS59" i="6"/>
  <c r="AH59" i="6"/>
  <c r="AQ59" i="6" s="1"/>
  <c r="AG59" i="6"/>
  <c r="AP59" i="6" s="1"/>
  <c r="AF59" i="6"/>
  <c r="AO59" i="6" s="1"/>
  <c r="AT59" i="6" s="1"/>
  <c r="AE59" i="6"/>
  <c r="BT58" i="6"/>
  <c r="BS58" i="6"/>
  <c r="BR58" i="6"/>
  <c r="BQ58" i="6"/>
  <c r="BP58" i="6"/>
  <c r="BX58" i="6" s="1"/>
  <c r="BO58" i="6"/>
  <c r="AZ58" i="6"/>
  <c r="AS58" i="6"/>
  <c r="AH58" i="6"/>
  <c r="AQ58" i="6" s="1"/>
  <c r="AG58" i="6"/>
  <c r="AP58" i="6" s="1"/>
  <c r="AF58" i="6"/>
  <c r="AO58" i="6" s="1"/>
  <c r="AE58" i="6"/>
  <c r="BZ57" i="6"/>
  <c r="BY57" i="6"/>
  <c r="BX57" i="6"/>
  <c r="BW57" i="6"/>
  <c r="BV57" i="6"/>
  <c r="BU57" i="6"/>
  <c r="BT57" i="6"/>
  <c r="BS57" i="6"/>
  <c r="BR57" i="6"/>
  <c r="BQ57" i="6"/>
  <c r="BP57" i="6"/>
  <c r="BO57" i="6"/>
  <c r="AZ57" i="6"/>
  <c r="AS57" i="6"/>
  <c r="AH57" i="6"/>
  <c r="AQ57" i="6" s="1"/>
  <c r="AG57" i="6"/>
  <c r="AP57" i="6" s="1"/>
  <c r="AF57" i="6"/>
  <c r="AO57" i="6" s="1"/>
  <c r="AE57" i="6"/>
  <c r="BZ56" i="6"/>
  <c r="BY56" i="6"/>
  <c r="BX56" i="6"/>
  <c r="BW56" i="6"/>
  <c r="BT56" i="6"/>
  <c r="BS56" i="6"/>
  <c r="BR56" i="6"/>
  <c r="BQ56" i="6"/>
  <c r="BP56" i="6"/>
  <c r="BO56" i="6"/>
  <c r="BU56" i="6" s="1"/>
  <c r="AZ56" i="6"/>
  <c r="AS56" i="6"/>
  <c r="AH56" i="6"/>
  <c r="AG56" i="6"/>
  <c r="AP56" i="6" s="1"/>
  <c r="AF56" i="6"/>
  <c r="AE56" i="6"/>
  <c r="BV55" i="6"/>
  <c r="BU55" i="6"/>
  <c r="BT55" i="6"/>
  <c r="BS55" i="6"/>
  <c r="BR55" i="6"/>
  <c r="BQ55" i="6"/>
  <c r="BP55" i="6"/>
  <c r="BO55" i="6"/>
  <c r="BW55" i="6" s="1"/>
  <c r="AZ55" i="6"/>
  <c r="AS55" i="6"/>
  <c r="AH55" i="6"/>
  <c r="AQ55" i="6" s="1"/>
  <c r="AV55" i="6" s="1"/>
  <c r="AG55" i="6"/>
  <c r="AP55" i="6" s="1"/>
  <c r="AU55" i="6" s="1"/>
  <c r="AF55" i="6"/>
  <c r="AO55" i="6" s="1"/>
  <c r="AE55" i="6"/>
  <c r="BT54" i="6"/>
  <c r="BS54" i="6"/>
  <c r="BR54" i="6"/>
  <c r="CD54" i="6" s="1"/>
  <c r="BQ54" i="6"/>
  <c r="BP54" i="6"/>
  <c r="BY54" i="6" s="1"/>
  <c r="BO54" i="6"/>
  <c r="AZ54" i="6"/>
  <c r="AS54" i="6"/>
  <c r="AH54" i="6"/>
  <c r="AQ54" i="6" s="1"/>
  <c r="AG54" i="6"/>
  <c r="AP54" i="6" s="1"/>
  <c r="AF54" i="6"/>
  <c r="AO54" i="6" s="1"/>
  <c r="AE54" i="6"/>
  <c r="CK53" i="6"/>
  <c r="CJ53" i="6"/>
  <c r="CI53" i="6"/>
  <c r="CG53" i="6"/>
  <c r="BW53" i="6"/>
  <c r="BV53" i="6"/>
  <c r="BT53" i="6"/>
  <c r="CL53" i="6" s="1"/>
  <c r="BS53" i="6"/>
  <c r="CH53" i="6" s="1"/>
  <c r="BR53" i="6"/>
  <c r="BQ53" i="6"/>
  <c r="BP53" i="6"/>
  <c r="BO53" i="6"/>
  <c r="BU53" i="6" s="1"/>
  <c r="AZ53" i="6"/>
  <c r="AS53" i="6"/>
  <c r="AH53" i="6"/>
  <c r="AQ53" i="6" s="1"/>
  <c r="AG53" i="6"/>
  <c r="AP53" i="6" s="1"/>
  <c r="AF53" i="6"/>
  <c r="AO53" i="6" s="1"/>
  <c r="AE53" i="6"/>
  <c r="BZ52" i="6"/>
  <c r="BY52" i="6"/>
  <c r="BX52" i="6"/>
  <c r="BT52" i="6"/>
  <c r="BS52" i="6"/>
  <c r="BR52" i="6"/>
  <c r="BQ52" i="6"/>
  <c r="BP52" i="6"/>
  <c r="BO52" i="6"/>
  <c r="BU52" i="6" s="1"/>
  <c r="AZ52" i="6"/>
  <c r="AS52" i="6"/>
  <c r="AH52" i="6"/>
  <c r="AG52" i="6"/>
  <c r="AF52" i="6"/>
  <c r="AE52" i="6"/>
  <c r="BZ51" i="6"/>
  <c r="BX51" i="6"/>
  <c r="BW51" i="6"/>
  <c r="BV51" i="6"/>
  <c r="BU51" i="6"/>
  <c r="BT51" i="6"/>
  <c r="BS51" i="6"/>
  <c r="BR51" i="6"/>
  <c r="BQ51" i="6"/>
  <c r="BP51" i="6"/>
  <c r="BY51" i="6" s="1"/>
  <c r="BO51" i="6"/>
  <c r="AZ51" i="6"/>
  <c r="AS51" i="6"/>
  <c r="AH51" i="6"/>
  <c r="AG51" i="6"/>
  <c r="AP51" i="6" s="1"/>
  <c r="AF51" i="6"/>
  <c r="AE51" i="6"/>
  <c r="BW50" i="6"/>
  <c r="BV50" i="6"/>
  <c r="BU50" i="6"/>
  <c r="BT50" i="6"/>
  <c r="BS50" i="6"/>
  <c r="BR50" i="6"/>
  <c r="BQ50" i="6"/>
  <c r="BP50" i="6"/>
  <c r="BO50" i="6"/>
  <c r="AZ50" i="6"/>
  <c r="AS50" i="6"/>
  <c r="AH50" i="6"/>
  <c r="AQ50" i="6" s="1"/>
  <c r="AV50" i="6" s="1"/>
  <c r="AG50" i="6"/>
  <c r="AP50" i="6" s="1"/>
  <c r="AF50" i="6"/>
  <c r="AO50" i="6" s="1"/>
  <c r="AE50" i="6"/>
  <c r="BZ49" i="6"/>
  <c r="BY49" i="6"/>
  <c r="BX49" i="6"/>
  <c r="BT49" i="6"/>
  <c r="BS49" i="6"/>
  <c r="BR49" i="6"/>
  <c r="BQ49" i="6"/>
  <c r="BP49" i="6"/>
  <c r="BO49" i="6"/>
  <c r="AZ49" i="6"/>
  <c r="AS49" i="6"/>
  <c r="AH49" i="6"/>
  <c r="AQ49" i="6" s="1"/>
  <c r="AV49" i="6" s="1"/>
  <c r="AG49" i="6"/>
  <c r="AP49" i="6" s="1"/>
  <c r="AF49" i="6"/>
  <c r="AE49" i="6"/>
  <c r="CL48" i="6"/>
  <c r="CK48" i="6"/>
  <c r="BT48" i="6"/>
  <c r="CJ48" i="6" s="1"/>
  <c r="BS48" i="6"/>
  <c r="CI48" i="6" s="1"/>
  <c r="BR48" i="6"/>
  <c r="BQ48" i="6"/>
  <c r="BP48" i="6"/>
  <c r="BO48" i="6"/>
  <c r="AZ48" i="6"/>
  <c r="AS48" i="6"/>
  <c r="AH48" i="6"/>
  <c r="AQ48" i="6" s="1"/>
  <c r="AG48" i="6"/>
  <c r="AP48" i="6" s="1"/>
  <c r="AU48" i="6" s="1"/>
  <c r="AF48" i="6"/>
  <c r="AE48" i="6"/>
  <c r="BT47" i="6"/>
  <c r="CL47" i="6" s="1"/>
  <c r="BS47" i="6"/>
  <c r="CI47" i="6" s="1"/>
  <c r="BR47" i="6"/>
  <c r="BQ47" i="6"/>
  <c r="BP47" i="6"/>
  <c r="BO47" i="6"/>
  <c r="AZ47" i="6"/>
  <c r="AS47" i="6"/>
  <c r="AH47" i="6"/>
  <c r="AQ47" i="6" s="1"/>
  <c r="AG47" i="6"/>
  <c r="AP47" i="6" s="1"/>
  <c r="AU47" i="6" s="1"/>
  <c r="AF47" i="6"/>
  <c r="AO47" i="6" s="1"/>
  <c r="AE47" i="6"/>
  <c r="BT46" i="6"/>
  <c r="BS46" i="6"/>
  <c r="BR46" i="6"/>
  <c r="BQ46" i="6"/>
  <c r="BP46" i="6"/>
  <c r="BO46" i="6"/>
  <c r="AZ46" i="6"/>
  <c r="AS46" i="6"/>
  <c r="AH46" i="6"/>
  <c r="AQ46" i="6" s="1"/>
  <c r="AG46" i="6"/>
  <c r="AF46" i="6"/>
  <c r="AE46" i="6"/>
  <c r="BT45" i="6"/>
  <c r="BS45" i="6"/>
  <c r="BR45" i="6"/>
  <c r="BQ45" i="6"/>
  <c r="BP45" i="6"/>
  <c r="BO45" i="6"/>
  <c r="AZ45" i="6"/>
  <c r="AS45" i="6"/>
  <c r="AH45" i="6"/>
  <c r="AQ45" i="6" s="1"/>
  <c r="AV45" i="6" s="1"/>
  <c r="BG45" i="6" s="1"/>
  <c r="AG45" i="6"/>
  <c r="AP45" i="6" s="1"/>
  <c r="AF45" i="6"/>
  <c r="AO45" i="6" s="1"/>
  <c r="AT45" i="6" s="1"/>
  <c r="AE45" i="6"/>
  <c r="BT44" i="6"/>
  <c r="CL44" i="6" s="1"/>
  <c r="BS44" i="6"/>
  <c r="CI44" i="6" s="1"/>
  <c r="BR44" i="6"/>
  <c r="BQ44" i="6"/>
  <c r="BP44" i="6"/>
  <c r="BO44" i="6"/>
  <c r="AZ44" i="6"/>
  <c r="AS44" i="6"/>
  <c r="AH44" i="6"/>
  <c r="AG44" i="6"/>
  <c r="AF44" i="6"/>
  <c r="AE44" i="6"/>
  <c r="CK43" i="6"/>
  <c r="CJ43" i="6"/>
  <c r="CI43" i="6"/>
  <c r="CH43" i="6"/>
  <c r="CG43" i="6"/>
  <c r="BT43" i="6"/>
  <c r="CL43" i="6" s="1"/>
  <c r="BS43" i="6"/>
  <c r="BR43" i="6"/>
  <c r="BQ43" i="6"/>
  <c r="BP43" i="6"/>
  <c r="BO43" i="6"/>
  <c r="AZ43" i="6"/>
  <c r="AS43" i="6"/>
  <c r="AH43" i="6"/>
  <c r="AG43" i="6"/>
  <c r="AP43" i="6" s="1"/>
  <c r="AF43" i="6"/>
  <c r="AO43" i="6" s="1"/>
  <c r="AT43" i="6" s="1"/>
  <c r="AE43" i="6"/>
  <c r="CL42" i="6"/>
  <c r="CK42" i="6"/>
  <c r="CJ42" i="6"/>
  <c r="CI42" i="6"/>
  <c r="BT42" i="6"/>
  <c r="BS42" i="6"/>
  <c r="CH42" i="6" s="1"/>
  <c r="BR42" i="6"/>
  <c r="BQ42" i="6"/>
  <c r="BP42" i="6"/>
  <c r="BO42" i="6"/>
  <c r="AZ42" i="6"/>
  <c r="AS42" i="6"/>
  <c r="AH42" i="6"/>
  <c r="AQ42" i="6" s="1"/>
  <c r="AG42" i="6"/>
  <c r="AP42" i="6" s="1"/>
  <c r="AF42" i="6"/>
  <c r="AO42" i="6" s="1"/>
  <c r="AE42" i="6"/>
  <c r="BT41" i="6"/>
  <c r="CL41" i="6" s="1"/>
  <c r="BS41" i="6"/>
  <c r="BR41" i="6"/>
  <c r="BQ41" i="6"/>
  <c r="BP41" i="6"/>
  <c r="BO41" i="6"/>
  <c r="AZ41" i="6"/>
  <c r="AS41" i="6"/>
  <c r="AH41" i="6"/>
  <c r="AQ41" i="6" s="1"/>
  <c r="AV41" i="6" s="1"/>
  <c r="AG41" i="6"/>
  <c r="AP41" i="6" s="1"/>
  <c r="AF41" i="6"/>
  <c r="AE41" i="6"/>
  <c r="BT40" i="6"/>
  <c r="BS40" i="6"/>
  <c r="BR40" i="6"/>
  <c r="BQ40" i="6"/>
  <c r="BP40" i="6"/>
  <c r="BO40" i="6"/>
  <c r="AZ40" i="6"/>
  <c r="AS40" i="6"/>
  <c r="AH40" i="6"/>
  <c r="AQ40" i="6" s="1"/>
  <c r="AG40" i="6"/>
  <c r="AF40" i="6"/>
  <c r="AO40" i="6" s="1"/>
  <c r="AT40" i="6" s="1"/>
  <c r="AE40" i="6"/>
  <c r="BT39" i="6"/>
  <c r="CL39" i="6" s="1"/>
  <c r="BS39" i="6"/>
  <c r="BR39" i="6"/>
  <c r="BQ39" i="6"/>
  <c r="BP39" i="6"/>
  <c r="BO39" i="6"/>
  <c r="AZ39" i="6"/>
  <c r="AS39" i="6"/>
  <c r="AH39" i="6"/>
  <c r="AG39" i="6"/>
  <c r="AF39" i="6"/>
  <c r="AO39" i="6" s="1"/>
  <c r="AE39" i="6"/>
  <c r="BT38" i="6"/>
  <c r="CK38" i="6" s="1"/>
  <c r="BS38" i="6"/>
  <c r="CG38" i="6" s="1"/>
  <c r="BR38" i="6"/>
  <c r="BQ38" i="6"/>
  <c r="BP38" i="6"/>
  <c r="BO38" i="6"/>
  <c r="AZ38" i="6"/>
  <c r="AS38" i="6"/>
  <c r="AH38" i="6"/>
  <c r="AQ38" i="6" s="1"/>
  <c r="AV38" i="6" s="1"/>
  <c r="AG38" i="6"/>
  <c r="AF38" i="6"/>
  <c r="AO38" i="6" s="1"/>
  <c r="AT38" i="6" s="1"/>
  <c r="AE38" i="6"/>
  <c r="BT37" i="6"/>
  <c r="CL37" i="6" s="1"/>
  <c r="BS37" i="6"/>
  <c r="CI37" i="6" s="1"/>
  <c r="BR37" i="6"/>
  <c r="BQ37" i="6"/>
  <c r="BP37" i="6"/>
  <c r="BO37" i="6"/>
  <c r="AZ37" i="6"/>
  <c r="AS37" i="6"/>
  <c r="AH37" i="6"/>
  <c r="AQ37" i="6" s="1"/>
  <c r="AG37" i="6"/>
  <c r="AF37" i="6"/>
  <c r="BX37" i="6" s="1"/>
  <c r="AE37" i="6"/>
  <c r="CI36" i="6"/>
  <c r="CH36" i="6"/>
  <c r="BT36" i="6"/>
  <c r="CK36" i="6" s="1"/>
  <c r="BS36" i="6"/>
  <c r="CG36" i="6" s="1"/>
  <c r="BR36" i="6"/>
  <c r="BQ36" i="6"/>
  <c r="BP36" i="6"/>
  <c r="BO36" i="6"/>
  <c r="AZ36" i="6"/>
  <c r="AS36" i="6"/>
  <c r="AH36" i="6"/>
  <c r="AQ36" i="6" s="1"/>
  <c r="AG36" i="6"/>
  <c r="AP36" i="6" s="1"/>
  <c r="AF36" i="6"/>
  <c r="AO36" i="6" s="1"/>
  <c r="AT36" i="6" s="1"/>
  <c r="BE36" i="6" s="1"/>
  <c r="AE36" i="6"/>
  <c r="CK35" i="6"/>
  <c r="CJ35" i="6"/>
  <c r="BT35" i="6"/>
  <c r="CL35" i="6" s="1"/>
  <c r="BS35" i="6"/>
  <c r="BR35" i="6"/>
  <c r="BQ35" i="6"/>
  <c r="BP35" i="6"/>
  <c r="BO35" i="6"/>
  <c r="AZ35" i="6"/>
  <c r="AS35" i="6"/>
  <c r="AH35" i="6"/>
  <c r="AQ35" i="6" s="1"/>
  <c r="AV35" i="6" s="1"/>
  <c r="AG35" i="6"/>
  <c r="AP35" i="6" s="1"/>
  <c r="AF35" i="6"/>
  <c r="AE35" i="6"/>
  <c r="BT34" i="6"/>
  <c r="CL34" i="6" s="1"/>
  <c r="BS34" i="6"/>
  <c r="BR34" i="6"/>
  <c r="BQ34" i="6"/>
  <c r="BP34" i="6"/>
  <c r="BO34" i="6"/>
  <c r="AZ34" i="6"/>
  <c r="AS34" i="6"/>
  <c r="AH34" i="6"/>
  <c r="AQ34" i="6" s="1"/>
  <c r="AG34" i="6"/>
  <c r="AF34" i="6"/>
  <c r="AO34" i="6" s="1"/>
  <c r="AE34" i="6"/>
  <c r="BW33" i="6"/>
  <c r="BT33" i="6"/>
  <c r="BS33" i="6"/>
  <c r="CG33" i="6" s="1"/>
  <c r="BR33" i="6"/>
  <c r="BQ33" i="6"/>
  <c r="BP33" i="6"/>
  <c r="BO33" i="6"/>
  <c r="AZ33" i="6"/>
  <c r="AS33" i="6"/>
  <c r="AH33" i="6"/>
  <c r="AG33" i="6"/>
  <c r="AF33" i="6"/>
  <c r="AO33" i="6" s="1"/>
  <c r="AE33" i="6"/>
  <c r="BT32" i="6"/>
  <c r="CK32" i="6" s="1"/>
  <c r="BS32" i="6"/>
  <c r="BR32" i="6"/>
  <c r="BQ32" i="6"/>
  <c r="BP32" i="6"/>
  <c r="BO32" i="6"/>
  <c r="AZ32" i="6"/>
  <c r="AS32" i="6"/>
  <c r="AH32" i="6"/>
  <c r="AQ32" i="6" s="1"/>
  <c r="AG32" i="6"/>
  <c r="AP32" i="6" s="1"/>
  <c r="AU32" i="6" s="1"/>
  <c r="AF32" i="6"/>
  <c r="AE32" i="6"/>
  <c r="BT31" i="6"/>
  <c r="CK31" i="6" s="1"/>
  <c r="BS31" i="6"/>
  <c r="CH31" i="6" s="1"/>
  <c r="BR31" i="6"/>
  <c r="BQ31" i="6"/>
  <c r="BP31" i="6"/>
  <c r="BO31" i="6"/>
  <c r="AZ31" i="6"/>
  <c r="AS31" i="6"/>
  <c r="AE31" i="6"/>
  <c r="BT30" i="6"/>
  <c r="BS30" i="6"/>
  <c r="BR30" i="6"/>
  <c r="BQ30" i="6"/>
  <c r="BP30" i="6"/>
  <c r="BO30" i="6"/>
  <c r="AZ30" i="6"/>
  <c r="AS30" i="6"/>
  <c r="AE30" i="6"/>
  <c r="BT29" i="6"/>
  <c r="CL29" i="6" s="1"/>
  <c r="BS29" i="6"/>
  <c r="BR29" i="6"/>
  <c r="BQ29" i="6"/>
  <c r="BP29" i="6"/>
  <c r="BO29" i="6"/>
  <c r="AZ29" i="6"/>
  <c r="AS29" i="6"/>
  <c r="AH29" i="6"/>
  <c r="AQ29" i="6" s="1"/>
  <c r="AG29" i="6"/>
  <c r="AP29" i="6" s="1"/>
  <c r="AF29" i="6"/>
  <c r="AO29" i="6" s="1"/>
  <c r="AE29" i="6"/>
  <c r="BT28" i="6"/>
  <c r="BS28" i="6"/>
  <c r="BR28" i="6"/>
  <c r="BQ28" i="6"/>
  <c r="BP28" i="6"/>
  <c r="BO28" i="6"/>
  <c r="AZ28" i="6"/>
  <c r="AS28" i="6"/>
  <c r="AH28" i="6"/>
  <c r="AG28" i="6"/>
  <c r="AF28" i="6"/>
  <c r="AO28" i="6" s="1"/>
  <c r="AE28" i="6"/>
  <c r="BT27" i="6"/>
  <c r="BS27" i="6"/>
  <c r="CI27" i="6" s="1"/>
  <c r="BR27" i="6"/>
  <c r="BQ27" i="6"/>
  <c r="BP27" i="6"/>
  <c r="BO27" i="6"/>
  <c r="AZ27" i="6"/>
  <c r="AS27" i="6"/>
  <c r="AH27" i="6"/>
  <c r="AQ27" i="6" s="1"/>
  <c r="AG27" i="6"/>
  <c r="AP27" i="6" s="1"/>
  <c r="AU27" i="6" s="1"/>
  <c r="AF27" i="6"/>
  <c r="AO27" i="6" s="1"/>
  <c r="AT27" i="6" s="1"/>
  <c r="AE27" i="6"/>
  <c r="BT26" i="6"/>
  <c r="CL26" i="6" s="1"/>
  <c r="BS26" i="6"/>
  <c r="CI26" i="6" s="1"/>
  <c r="BR26" i="6"/>
  <c r="BQ26" i="6"/>
  <c r="BP26" i="6"/>
  <c r="BO26" i="6"/>
  <c r="AZ26" i="6"/>
  <c r="AS26" i="6"/>
  <c r="AE26" i="6"/>
  <c r="BT25" i="6"/>
  <c r="BS25" i="6"/>
  <c r="BR25" i="6"/>
  <c r="BQ25" i="6"/>
  <c r="BP25" i="6"/>
  <c r="BO25" i="6"/>
  <c r="AZ25" i="6"/>
  <c r="AS25" i="6"/>
  <c r="AH25" i="6"/>
  <c r="AQ25" i="6" s="1"/>
  <c r="AV25" i="6" s="1"/>
  <c r="AG25" i="6"/>
  <c r="AF25" i="6"/>
  <c r="AE25" i="6"/>
  <c r="CK24" i="6"/>
  <c r="CJ24" i="6"/>
  <c r="CH24" i="6"/>
  <c r="CG24" i="6"/>
  <c r="BT24" i="6"/>
  <c r="CL24" i="6" s="1"/>
  <c r="BS24" i="6"/>
  <c r="CI24" i="6" s="1"/>
  <c r="BR24" i="6"/>
  <c r="BQ24" i="6"/>
  <c r="BP24" i="6"/>
  <c r="BO24" i="6"/>
  <c r="AZ24" i="6"/>
  <c r="AS24" i="6"/>
  <c r="AH24" i="6"/>
  <c r="AG24" i="6"/>
  <c r="AF24" i="6"/>
  <c r="AO24" i="6" s="1"/>
  <c r="AT24" i="6" s="1"/>
  <c r="AE24" i="6"/>
  <c r="BT23" i="6"/>
  <c r="BS23" i="6"/>
  <c r="BR23" i="6"/>
  <c r="BQ23" i="6"/>
  <c r="BP23" i="6"/>
  <c r="BO23" i="6"/>
  <c r="AZ23" i="6"/>
  <c r="AS23" i="6"/>
  <c r="AH23" i="6"/>
  <c r="AQ23" i="6" s="1"/>
  <c r="AG23" i="6"/>
  <c r="AF23" i="6"/>
  <c r="AE23" i="6"/>
  <c r="BT22" i="6"/>
  <c r="BS22" i="6"/>
  <c r="BR22" i="6"/>
  <c r="BQ22" i="6"/>
  <c r="BP22" i="6"/>
  <c r="BO22" i="6"/>
  <c r="AZ22" i="6"/>
  <c r="AS22" i="6"/>
  <c r="AH22" i="6"/>
  <c r="AQ22" i="6" s="1"/>
  <c r="AG22" i="6"/>
  <c r="AF22" i="6"/>
  <c r="AE22" i="6"/>
  <c r="BT21" i="6"/>
  <c r="BS21" i="6"/>
  <c r="BR21" i="6"/>
  <c r="BQ21" i="6"/>
  <c r="BP21" i="6"/>
  <c r="BO21" i="6"/>
  <c r="AZ21" i="6"/>
  <c r="AS21" i="6"/>
  <c r="AH21" i="6"/>
  <c r="AQ21" i="6" s="1"/>
  <c r="AV21" i="6" s="1"/>
  <c r="AG21" i="6"/>
  <c r="AP21" i="6" s="1"/>
  <c r="AU21" i="6" s="1"/>
  <c r="BF21" i="6" s="1"/>
  <c r="AF21" i="6"/>
  <c r="AE21" i="6"/>
  <c r="BT20" i="6"/>
  <c r="BS20" i="6"/>
  <c r="BR20" i="6"/>
  <c r="BQ20" i="6"/>
  <c r="BP20" i="6"/>
  <c r="BO20" i="6"/>
  <c r="AZ20" i="6"/>
  <c r="AS20" i="6"/>
  <c r="AH20" i="6"/>
  <c r="AQ20" i="6" s="1"/>
  <c r="AV20" i="6" s="1"/>
  <c r="BG20" i="6" s="1"/>
  <c r="AG20" i="6"/>
  <c r="AP20" i="6" s="1"/>
  <c r="AF20" i="6"/>
  <c r="AE20" i="6"/>
  <c r="BT19" i="6"/>
  <c r="BS19" i="6"/>
  <c r="BR19" i="6"/>
  <c r="BQ19" i="6"/>
  <c r="BP19" i="6"/>
  <c r="BO19" i="6"/>
  <c r="AZ19" i="6"/>
  <c r="AS19" i="6"/>
  <c r="AH19" i="6"/>
  <c r="AQ19" i="6" s="1"/>
  <c r="AG19" i="6"/>
  <c r="AP19" i="6" s="1"/>
  <c r="AF19" i="6"/>
  <c r="AE19" i="6"/>
  <c r="BT18" i="6"/>
  <c r="BS18" i="6"/>
  <c r="BR18" i="6"/>
  <c r="BQ18" i="6"/>
  <c r="BP18" i="6"/>
  <c r="BO18" i="6"/>
  <c r="AZ18" i="6"/>
  <c r="AS18" i="6"/>
  <c r="AH18" i="6"/>
  <c r="AQ18" i="6" s="1"/>
  <c r="AG18" i="6"/>
  <c r="AF18" i="6"/>
  <c r="AO18" i="6" s="1"/>
  <c r="AE18" i="6"/>
  <c r="BT17" i="6"/>
  <c r="BS17" i="6"/>
  <c r="BR17" i="6"/>
  <c r="BQ17" i="6"/>
  <c r="BP17" i="6"/>
  <c r="BO17" i="6"/>
  <c r="AZ17" i="6"/>
  <c r="AS17" i="6"/>
  <c r="AH17" i="6"/>
  <c r="AG17" i="6"/>
  <c r="AP17" i="6" s="1"/>
  <c r="AF17" i="6"/>
  <c r="AO17" i="6" s="1"/>
  <c r="AE17" i="6"/>
  <c r="BT16" i="6"/>
  <c r="BS16" i="6"/>
  <c r="BR16" i="6"/>
  <c r="BQ16" i="6"/>
  <c r="BP16" i="6"/>
  <c r="BO16" i="6"/>
  <c r="AZ16" i="6"/>
  <c r="AS16" i="6"/>
  <c r="AH16" i="6"/>
  <c r="AQ16" i="6" s="1"/>
  <c r="AV16" i="6" s="1"/>
  <c r="AG16" i="6"/>
  <c r="AF16" i="6"/>
  <c r="AE16" i="6"/>
  <c r="BT15" i="6"/>
  <c r="BS15" i="6"/>
  <c r="BR15" i="6"/>
  <c r="BQ15" i="6"/>
  <c r="BP15" i="6"/>
  <c r="BO15" i="6"/>
  <c r="AZ15" i="6"/>
  <c r="AS15" i="6"/>
  <c r="AH15" i="6"/>
  <c r="AG15" i="6"/>
  <c r="AP15" i="6" s="1"/>
  <c r="AF15" i="6"/>
  <c r="AO15" i="6" s="1"/>
  <c r="AT15" i="6" s="1"/>
  <c r="AE15" i="6"/>
  <c r="CC14" i="6"/>
  <c r="BT14" i="6"/>
  <c r="BS14" i="6"/>
  <c r="BR14" i="6"/>
  <c r="BQ14" i="6"/>
  <c r="CB14" i="6" s="1"/>
  <c r="BP14" i="6"/>
  <c r="BO14" i="6"/>
  <c r="AZ14" i="6"/>
  <c r="AS14" i="6"/>
  <c r="AH14" i="6"/>
  <c r="AG14" i="6"/>
  <c r="AP14" i="6" s="1"/>
  <c r="AU14" i="6" s="1"/>
  <c r="BF14" i="6" s="1"/>
  <c r="AF14" i="6"/>
  <c r="AO14" i="6" s="1"/>
  <c r="AE14" i="6"/>
  <c r="BT13" i="6"/>
  <c r="BS13" i="6"/>
  <c r="BR13" i="6"/>
  <c r="BQ13" i="6"/>
  <c r="BP13" i="6"/>
  <c r="BO13" i="6"/>
  <c r="AZ13" i="6"/>
  <c r="AS13" i="6"/>
  <c r="AH13" i="6"/>
  <c r="AQ13" i="6" s="1"/>
  <c r="AG13" i="6"/>
  <c r="AP13" i="6" s="1"/>
  <c r="AF13" i="6"/>
  <c r="AO13" i="6" s="1"/>
  <c r="AE13" i="6"/>
  <c r="BT12" i="6"/>
  <c r="BS12" i="6"/>
  <c r="BR12" i="6"/>
  <c r="BQ12" i="6"/>
  <c r="BP12" i="6"/>
  <c r="BO12" i="6"/>
  <c r="AZ12" i="6"/>
  <c r="AS12" i="6"/>
  <c r="AH12" i="6"/>
  <c r="AQ12" i="6" s="1"/>
  <c r="AG12" i="6"/>
  <c r="AF12" i="6"/>
  <c r="AE12" i="6"/>
  <c r="BT11" i="6"/>
  <c r="BS11" i="6"/>
  <c r="BR11" i="6"/>
  <c r="BQ11" i="6"/>
  <c r="BP11" i="6"/>
  <c r="BO11" i="6"/>
  <c r="AZ11" i="6"/>
  <c r="AS11" i="6"/>
  <c r="AH11" i="6"/>
  <c r="AG11" i="6"/>
  <c r="AF11" i="6"/>
  <c r="AO11" i="6" s="1"/>
  <c r="AE11" i="6"/>
  <c r="BT10" i="6"/>
  <c r="BS10" i="6"/>
  <c r="BR10" i="6"/>
  <c r="BQ10" i="6"/>
  <c r="BP10" i="6"/>
  <c r="BO10" i="6"/>
  <c r="AZ10" i="6"/>
  <c r="AS10" i="6"/>
  <c r="AH10" i="6"/>
  <c r="AQ10" i="6" s="1"/>
  <c r="AG10" i="6"/>
  <c r="AF10" i="6"/>
  <c r="AE10" i="6"/>
  <c r="BT9" i="6"/>
  <c r="BS9" i="6"/>
  <c r="BR9" i="6"/>
  <c r="BQ9" i="6"/>
  <c r="BP9" i="6"/>
  <c r="BO9" i="6"/>
  <c r="AZ9" i="6"/>
  <c r="AS9" i="6"/>
  <c r="AH9" i="6"/>
  <c r="AG9" i="6"/>
  <c r="AP9" i="6" s="1"/>
  <c r="AF9" i="6"/>
  <c r="AO9" i="6" s="1"/>
  <c r="AE9" i="6"/>
  <c r="BT8" i="6"/>
  <c r="BS8" i="6"/>
  <c r="BR8" i="6"/>
  <c r="BQ8" i="6"/>
  <c r="BP8" i="6"/>
  <c r="BO8" i="6"/>
  <c r="AZ8" i="6"/>
  <c r="AS8" i="6"/>
  <c r="AH8" i="6"/>
  <c r="AG8" i="6"/>
  <c r="AP8" i="6" s="1"/>
  <c r="AF8" i="6"/>
  <c r="AO8" i="6" s="1"/>
  <c r="AE8" i="6"/>
  <c r="BT7" i="6"/>
  <c r="BS7" i="6"/>
  <c r="BR7" i="6"/>
  <c r="BQ7" i="6"/>
  <c r="BP7" i="6"/>
  <c r="BO7" i="6"/>
  <c r="AZ7" i="6"/>
  <c r="AS7" i="6"/>
  <c r="AH7" i="6"/>
  <c r="AQ7" i="6" s="1"/>
  <c r="AG7" i="6"/>
  <c r="AP7" i="6" s="1"/>
  <c r="AF7" i="6"/>
  <c r="AO7" i="6" s="1"/>
  <c r="AE7" i="6"/>
  <c r="BT6" i="6"/>
  <c r="BS6" i="6"/>
  <c r="BR6" i="6"/>
  <c r="BQ6" i="6"/>
  <c r="BP6" i="6"/>
  <c r="BO6" i="6"/>
  <c r="AZ6" i="6"/>
  <c r="AS6" i="6"/>
  <c r="AH6" i="6"/>
  <c r="AG6" i="6"/>
  <c r="AF6" i="6"/>
  <c r="AO6" i="6" s="1"/>
  <c r="AE6" i="6"/>
  <c r="BT5" i="6"/>
  <c r="BS5" i="6"/>
  <c r="BR5" i="6"/>
  <c r="BQ5" i="6"/>
  <c r="BP5" i="6"/>
  <c r="BO5" i="6"/>
  <c r="AZ5" i="6"/>
  <c r="AS5" i="6"/>
  <c r="AH5" i="6"/>
  <c r="AG5" i="6"/>
  <c r="AP5" i="6" s="1"/>
  <c r="AF5" i="6"/>
  <c r="AO5" i="6" s="1"/>
  <c r="AE5" i="6"/>
  <c r="E37" i="3"/>
  <c r="AH31" i="6" s="1"/>
  <c r="AQ31" i="6" s="1"/>
  <c r="D37" i="3"/>
  <c r="AG31" i="6" s="1"/>
  <c r="AP31" i="6" s="1"/>
  <c r="C37" i="3"/>
  <c r="AF26" i="6" s="1"/>
  <c r="AO26" i="6" s="1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BU74" i="6" l="1"/>
  <c r="CA6" i="6"/>
  <c r="AU20" i="6"/>
  <c r="BF20" i="6" s="1"/>
  <c r="CA59" i="6"/>
  <c r="CA20" i="6"/>
  <c r="AU67" i="6"/>
  <c r="BF67" i="6" s="1"/>
  <c r="AU17" i="6"/>
  <c r="BF17" i="6" s="1"/>
  <c r="AU13" i="6"/>
  <c r="BF13" i="6" s="1"/>
  <c r="CA35" i="6"/>
  <c r="AU76" i="6"/>
  <c r="BB76" i="6" s="1"/>
  <c r="AV13" i="6"/>
  <c r="BG13" i="6" s="1"/>
  <c r="AU45" i="6"/>
  <c r="BF45" i="6" s="1"/>
  <c r="CE53" i="6"/>
  <c r="BV37" i="6"/>
  <c r="AV48" i="6"/>
  <c r="BG48" i="6" s="1"/>
  <c r="AV37" i="6"/>
  <c r="BG37" i="6" s="1"/>
  <c r="AV40" i="6"/>
  <c r="BC40" i="6" s="1"/>
  <c r="AT26" i="6"/>
  <c r="BE26" i="6" s="1"/>
  <c r="BA27" i="6"/>
  <c r="AT39" i="6"/>
  <c r="BA39" i="6" s="1"/>
  <c r="AT42" i="6"/>
  <c r="BE42" i="6" s="1"/>
  <c r="CA52" i="6"/>
  <c r="AU31" i="6"/>
  <c r="BF31" i="6" s="1"/>
  <c r="AV31" i="6"/>
  <c r="BG31" i="6" s="1"/>
  <c r="AT14" i="6"/>
  <c r="BE14" i="6" s="1"/>
  <c r="AT77" i="6"/>
  <c r="BE77" i="6" s="1"/>
  <c r="AU15" i="6"/>
  <c r="BF15" i="6" s="1"/>
  <c r="AT28" i="6"/>
  <c r="BA28" i="6" s="1"/>
  <c r="AT74" i="6"/>
  <c r="BE74" i="6" s="1"/>
  <c r="AT5" i="6"/>
  <c r="BE5" i="6" s="1"/>
  <c r="CJ20" i="6"/>
  <c r="AV58" i="6"/>
  <c r="BG58" i="6" s="1"/>
  <c r="CA37" i="6"/>
  <c r="BX14" i="6"/>
  <c r="BZ22" i="6"/>
  <c r="AV27" i="6"/>
  <c r="BC27" i="6" s="1"/>
  <c r="AV36" i="6"/>
  <c r="BC36" i="6" s="1"/>
  <c r="AO20" i="6"/>
  <c r="AT20" i="6" s="1"/>
  <c r="BU27" i="6"/>
  <c r="CC35" i="6"/>
  <c r="AU42" i="6"/>
  <c r="BB42" i="6" s="1"/>
  <c r="AU54" i="6"/>
  <c r="BF54" i="6" s="1"/>
  <c r="CK15" i="6"/>
  <c r="AP37" i="6"/>
  <c r="AU37" i="6" s="1"/>
  <c r="BF37" i="6" s="1"/>
  <c r="AU59" i="6"/>
  <c r="BF59" i="6" s="1"/>
  <c r="CI15" i="6"/>
  <c r="AT71" i="6"/>
  <c r="BA71" i="6" s="1"/>
  <c r="AT6" i="6"/>
  <c r="BE6" i="6" s="1"/>
  <c r="AU9" i="6"/>
  <c r="BF9" i="6" s="1"/>
  <c r="AV34" i="6"/>
  <c r="BG34" i="6" s="1"/>
  <c r="AV46" i="6"/>
  <c r="BG46" i="6" s="1"/>
  <c r="AV32" i="6"/>
  <c r="BC32" i="6" s="1"/>
  <c r="CJ59" i="6"/>
  <c r="CA71" i="6"/>
  <c r="BX6" i="6"/>
  <c r="AV12" i="6"/>
  <c r="BC12" i="6" s="1"/>
  <c r="AG26" i="6"/>
  <c r="AP26" i="6" s="1"/>
  <c r="AU26" i="6" s="1"/>
  <c r="BB26" i="6" s="1"/>
  <c r="AT29" i="6"/>
  <c r="BE29" i="6" s="1"/>
  <c r="AV42" i="6"/>
  <c r="BG42" i="6" s="1"/>
  <c r="CA43" i="6"/>
  <c r="AV47" i="6"/>
  <c r="BC47" i="6" s="1"/>
  <c r="CB48" i="6"/>
  <c r="AV53" i="6"/>
  <c r="BG53" i="6" s="1"/>
  <c r="AT70" i="6"/>
  <c r="BE70" i="6" s="1"/>
  <c r="CF20" i="6"/>
  <c r="BX35" i="6"/>
  <c r="CB22" i="6"/>
  <c r="AH26" i="6"/>
  <c r="AQ26" i="6" s="1"/>
  <c r="AV26" i="6" s="1"/>
  <c r="BG26" i="6" s="1"/>
  <c r="AU5" i="6"/>
  <c r="BF5" i="6" s="1"/>
  <c r="CH20" i="6"/>
  <c r="AV22" i="6"/>
  <c r="BG22" i="6" s="1"/>
  <c r="AV29" i="6"/>
  <c r="BG29" i="6" s="1"/>
  <c r="BV35" i="6"/>
  <c r="AO37" i="6"/>
  <c r="AT37" i="6" s="1"/>
  <c r="BA37" i="6" s="1"/>
  <c r="AU41" i="6"/>
  <c r="BF41" i="6" s="1"/>
  <c r="AU60" i="6"/>
  <c r="BB60" i="6" s="1"/>
  <c r="AT76" i="6"/>
  <c r="BE76" i="6" s="1"/>
  <c r="AT11" i="6"/>
  <c r="BE11" i="6" s="1"/>
  <c r="BY22" i="6"/>
  <c r="AO35" i="6"/>
  <c r="AT35" i="6" s="1"/>
  <c r="BA35" i="6" s="1"/>
  <c r="CA70" i="6"/>
  <c r="AU8" i="6"/>
  <c r="BF8" i="6" s="1"/>
  <c r="AT18" i="6"/>
  <c r="BE18" i="6" s="1"/>
  <c r="CD15" i="6"/>
  <c r="AV18" i="6"/>
  <c r="BC18" i="6" s="1"/>
  <c r="CJ23" i="6"/>
  <c r="AU35" i="6"/>
  <c r="BF35" i="6" s="1"/>
  <c r="BU37" i="6"/>
  <c r="AV54" i="6"/>
  <c r="BG54" i="6" s="1"/>
  <c r="AV59" i="6"/>
  <c r="BC59" i="6" s="1"/>
  <c r="AT54" i="6"/>
  <c r="BA54" i="6" s="1"/>
  <c r="AT17" i="6"/>
  <c r="BE17" i="6" s="1"/>
  <c r="CB35" i="6"/>
  <c r="AU49" i="6"/>
  <c r="BF49" i="6" s="1"/>
  <c r="AU7" i="6"/>
  <c r="BB7" i="6" s="1"/>
  <c r="BC49" i="6"/>
  <c r="AT58" i="6"/>
  <c r="BE58" i="6" s="1"/>
  <c r="AV7" i="6"/>
  <c r="BG7" i="6" s="1"/>
  <c r="AT13" i="6"/>
  <c r="BE13" i="6" s="1"/>
  <c r="AU58" i="6"/>
  <c r="BF58" i="6" s="1"/>
  <c r="AT67" i="6"/>
  <c r="BE67" i="6" s="1"/>
  <c r="AU68" i="6"/>
  <c r="BF68" i="6" s="1"/>
  <c r="AV75" i="6"/>
  <c r="BG75" i="6" s="1"/>
  <c r="CF61" i="6"/>
  <c r="AG30" i="6"/>
  <c r="AP30" i="6" s="1"/>
  <c r="AU30" i="6" s="1"/>
  <c r="BB30" i="6" s="1"/>
  <c r="AV67" i="6"/>
  <c r="BG67" i="6" s="1"/>
  <c r="CD53" i="6"/>
  <c r="CL15" i="6"/>
  <c r="BZ33" i="6"/>
  <c r="AU56" i="6"/>
  <c r="BB56" i="6" s="1"/>
  <c r="AH30" i="6"/>
  <c r="AQ30" i="6" s="1"/>
  <c r="AV30" i="6" s="1"/>
  <c r="BC30" i="6" s="1"/>
  <c r="AT33" i="6"/>
  <c r="BA33" i="6" s="1"/>
  <c r="CA44" i="6"/>
  <c r="CL11" i="6"/>
  <c r="BW37" i="6"/>
  <c r="AT9" i="6"/>
  <c r="BE9" i="6" s="1"/>
  <c r="AV23" i="6"/>
  <c r="BG23" i="6" s="1"/>
  <c r="CA27" i="6"/>
  <c r="AU43" i="6"/>
  <c r="BF43" i="6" s="1"/>
  <c r="CF44" i="6"/>
  <c r="BW48" i="6"/>
  <c r="CJ50" i="6"/>
  <c r="AT55" i="6"/>
  <c r="BA55" i="6" s="1"/>
  <c r="AU77" i="6"/>
  <c r="BF77" i="6" s="1"/>
  <c r="BC20" i="6"/>
  <c r="BJ20" i="6" s="1"/>
  <c r="CC63" i="6"/>
  <c r="BE45" i="6"/>
  <c r="BA45" i="6"/>
  <c r="BZ46" i="6"/>
  <c r="AQ43" i="6"/>
  <c r="AV43" i="6" s="1"/>
  <c r="CC43" i="6"/>
  <c r="AP44" i="6"/>
  <c r="AU44" i="6" s="1"/>
  <c r="BF44" i="6" s="1"/>
  <c r="CB44" i="6"/>
  <c r="BY44" i="6"/>
  <c r="CK69" i="6"/>
  <c r="AV10" i="6"/>
  <c r="BC10" i="6" s="1"/>
  <c r="AQ44" i="6"/>
  <c r="AV44" i="6" s="1"/>
  <c r="CD7" i="6"/>
  <c r="CL10" i="6"/>
  <c r="BG49" i="6"/>
  <c r="AQ9" i="6"/>
  <c r="AV9" i="6" s="1"/>
  <c r="BG9" i="6" s="1"/>
  <c r="BW9" i="6"/>
  <c r="BV41" i="6"/>
  <c r="BZ44" i="6"/>
  <c r="CJ33" i="6"/>
  <c r="BX33" i="6"/>
  <c r="BW41" i="6"/>
  <c r="BW46" i="6"/>
  <c r="BX46" i="6"/>
  <c r="BU25" i="6"/>
  <c r="AV60" i="6"/>
  <c r="CK73" i="6"/>
  <c r="BX77" i="6"/>
  <c r="CC12" i="6"/>
  <c r="CK59" i="6"/>
  <c r="BB67" i="6"/>
  <c r="BI67" i="6" s="1"/>
  <c r="CF21" i="6"/>
  <c r="CB43" i="6"/>
  <c r="BY76" i="6"/>
  <c r="BZ20" i="6"/>
  <c r="CG21" i="6"/>
  <c r="CJ56" i="6"/>
  <c r="CI9" i="6"/>
  <c r="CL21" i="6"/>
  <c r="CA28" i="6"/>
  <c r="CK33" i="6"/>
  <c r="CC61" i="6"/>
  <c r="BC72" i="6"/>
  <c r="CG7" i="6"/>
  <c r="CD8" i="6"/>
  <c r="CJ9" i="6"/>
  <c r="BY16" i="6"/>
  <c r="CB20" i="6"/>
  <c r="BB31" i="6"/>
  <c r="CI49" i="6"/>
  <c r="CG52" i="6"/>
  <c r="CA53" i="6"/>
  <c r="CC65" i="6"/>
  <c r="CB9" i="6"/>
  <c r="CA9" i="6"/>
  <c r="BV75" i="6"/>
  <c r="CE9" i="6"/>
  <c r="CD9" i="6"/>
  <c r="CI30" i="6"/>
  <c r="CH30" i="6"/>
  <c r="CG30" i="6"/>
  <c r="CD20" i="6"/>
  <c r="CE20" i="6"/>
  <c r="CC16" i="6"/>
  <c r="CB16" i="6"/>
  <c r="CJ39" i="6"/>
  <c r="CI46" i="6"/>
  <c r="CH46" i="6"/>
  <c r="CG46" i="6"/>
  <c r="CI29" i="6"/>
  <c r="CH29" i="6"/>
  <c r="CG29" i="6"/>
  <c r="CK39" i="6"/>
  <c r="CK46" i="6"/>
  <c r="CL46" i="6"/>
  <c r="CJ46" i="6"/>
  <c r="CG61" i="6"/>
  <c r="CJ36" i="6"/>
  <c r="CH38" i="6"/>
  <c r="CJ44" i="6"/>
  <c r="CI28" i="6"/>
  <c r="CH28" i="6"/>
  <c r="CL36" i="6"/>
  <c r="CI38" i="6"/>
  <c r="CK44" i="6"/>
  <c r="CI45" i="6"/>
  <c r="CH45" i="6"/>
  <c r="BV59" i="6"/>
  <c r="BU59" i="6"/>
  <c r="BZ8" i="6"/>
  <c r="BZ10" i="6"/>
  <c r="BY10" i="6"/>
  <c r="CJ28" i="6"/>
  <c r="CL28" i="6"/>
  <c r="CK28" i="6"/>
  <c r="CJ38" i="6"/>
  <c r="CL45" i="6"/>
  <c r="CK45" i="6"/>
  <c r="CJ45" i="6"/>
  <c r="CG28" i="6"/>
  <c r="CJ37" i="6"/>
  <c r="CL38" i="6"/>
  <c r="CG45" i="6"/>
  <c r="CA8" i="6"/>
  <c r="CH9" i="6"/>
  <c r="CJ32" i="6"/>
  <c r="CK37" i="6"/>
  <c r="CH8" i="6"/>
  <c r="BZ30" i="6"/>
  <c r="CL32" i="6"/>
  <c r="CJ18" i="6"/>
  <c r="CJ60" i="6"/>
  <c r="CL62" i="6"/>
  <c r="CG20" i="6"/>
  <c r="CG23" i="6"/>
  <c r="CG62" i="6"/>
  <c r="CE5" i="6"/>
  <c r="CH23" i="6"/>
  <c r="CG27" i="6"/>
  <c r="CI61" i="6"/>
  <c r="CJ62" i="6"/>
  <c r="CD66" i="6"/>
  <c r="CL68" i="6"/>
  <c r="CG26" i="6"/>
  <c r="CH27" i="6"/>
  <c r="CD33" i="6"/>
  <c r="CG48" i="6"/>
  <c r="CG55" i="6"/>
  <c r="CH15" i="6"/>
  <c r="CH26" i="6"/>
  <c r="CJ29" i="6"/>
  <c r="CJ41" i="6"/>
  <c r="CJ47" i="6"/>
  <c r="CH48" i="6"/>
  <c r="CA14" i="6"/>
  <c r="CJ26" i="6"/>
  <c r="CK29" i="6"/>
  <c r="CK41" i="6"/>
  <c r="CG42" i="6"/>
  <c r="CK47" i="6"/>
  <c r="CK54" i="6"/>
  <c r="CK26" i="6"/>
  <c r="BW32" i="6"/>
  <c r="BY46" i="6"/>
  <c r="BV56" i="6"/>
  <c r="CK65" i="6"/>
  <c r="BW40" i="6"/>
  <c r="CF40" i="6"/>
  <c r="CA40" i="6"/>
  <c r="BX40" i="6"/>
  <c r="BU40" i="6"/>
  <c r="CK64" i="6"/>
  <c r="CB64" i="6"/>
  <c r="BW64" i="6"/>
  <c r="BX64" i="6"/>
  <c r="CJ64" i="6"/>
  <c r="CH64" i="6"/>
  <c r="CE64" i="6"/>
  <c r="CF38" i="6"/>
  <c r="BW38" i="6"/>
  <c r="CK55" i="6"/>
  <c r="CI56" i="6"/>
  <c r="CD65" i="6"/>
  <c r="CE66" i="6"/>
  <c r="BV74" i="6"/>
  <c r="BW75" i="6"/>
  <c r="CE65" i="6"/>
  <c r="CF66" i="6"/>
  <c r="CL69" i="6"/>
  <c r="BX73" i="6"/>
  <c r="BW74" i="6"/>
  <c r="CF75" i="6"/>
  <c r="CG66" i="6"/>
  <c r="BW69" i="6"/>
  <c r="CD72" i="6"/>
  <c r="BX74" i="6"/>
  <c r="CE48" i="6"/>
  <c r="BA66" i="6"/>
  <c r="BH66" i="6" s="1"/>
  <c r="CC22" i="6"/>
  <c r="CF48" i="6"/>
  <c r="CL54" i="6"/>
  <c r="BV24" i="6"/>
  <c r="CG69" i="6"/>
  <c r="CA49" i="6"/>
  <c r="CH54" i="6"/>
  <c r="CJ5" i="6"/>
  <c r="CA13" i="6"/>
  <c r="CJ51" i="6"/>
  <c r="CJ54" i="6"/>
  <c r="CA56" i="6"/>
  <c r="CF63" i="6"/>
  <c r="BU5" i="6"/>
  <c r="BB48" i="6"/>
  <c r="BV5" i="6"/>
  <c r="CF45" i="6"/>
  <c r="BW5" i="6"/>
  <c r="BU6" i="6"/>
  <c r="CF8" i="6"/>
  <c r="BX5" i="6"/>
  <c r="BV6" i="6"/>
  <c r="BY7" i="6"/>
  <c r="CI8" i="6"/>
  <c r="CA12" i="6"/>
  <c r="CH13" i="6"/>
  <c r="CL14" i="6"/>
  <c r="BV25" i="6"/>
  <c r="BV27" i="6"/>
  <c r="BV30" i="6"/>
  <c r="BY41" i="6"/>
  <c r="BY5" i="6"/>
  <c r="BW6" i="6"/>
  <c r="CA7" i="6"/>
  <c r="CB12" i="6"/>
  <c r="CI13" i="6"/>
  <c r="BY14" i="6"/>
  <c r="BX18" i="6"/>
  <c r="BW25" i="6"/>
  <c r="BY30" i="6"/>
  <c r="BZ41" i="6"/>
  <c r="CD5" i="6"/>
  <c r="CB7" i="6"/>
  <c r="BU8" i="6"/>
  <c r="CJ13" i="6"/>
  <c r="BZ18" i="6"/>
  <c r="CF25" i="6"/>
  <c r="CB49" i="6"/>
  <c r="CC7" i="6"/>
  <c r="CC8" i="6"/>
  <c r="CG15" i="6"/>
  <c r="CA18" i="6"/>
  <c r="CC20" i="6"/>
  <c r="CC49" i="6"/>
  <c r="CI62" i="6"/>
  <c r="CH66" i="6"/>
  <c r="BX69" i="6"/>
  <c r="BV71" i="6"/>
  <c r="CE72" i="6"/>
  <c r="CF74" i="6"/>
  <c r="CI66" i="6"/>
  <c r="CA69" i="6"/>
  <c r="BW71" i="6"/>
  <c r="CH72" i="6"/>
  <c r="BY77" i="6"/>
  <c r="BU70" i="6"/>
  <c r="BY74" i="6"/>
  <c r="CD75" i="6"/>
  <c r="CH49" i="6"/>
  <c r="CB59" i="6"/>
  <c r="CG60" i="6"/>
  <c r="CA61" i="6"/>
  <c r="BV68" i="6"/>
  <c r="BV70" i="6"/>
  <c r="BZ74" i="6"/>
  <c r="BC77" i="6"/>
  <c r="CD29" i="6"/>
  <c r="BU38" i="6"/>
  <c r="CD49" i="6"/>
  <c r="BV7" i="6"/>
  <c r="CE8" i="6"/>
  <c r="CD14" i="6"/>
  <c r="CL22" i="6"/>
  <c r="CF49" i="6"/>
  <c r="BW7" i="6"/>
  <c r="CG8" i="6"/>
  <c r="CJ15" i="6"/>
  <c r="BX22" i="6"/>
  <c r="CA24" i="6"/>
  <c r="CE25" i="6"/>
  <c r="CD40" i="6"/>
  <c r="CB46" i="6"/>
  <c r="BX9" i="6"/>
  <c r="BC45" i="6"/>
  <c r="BJ45" i="6" s="1"/>
  <c r="CA64" i="6"/>
  <c r="CD74" i="6"/>
  <c r="CL55" i="6"/>
  <c r="CH58" i="6"/>
  <c r="BU68" i="6"/>
  <c r="CC69" i="6"/>
  <c r="CA72" i="6"/>
  <c r="BZ70" i="6"/>
  <c r="BW73" i="6"/>
  <c r="CL77" i="6"/>
  <c r="BU76" i="6"/>
  <c r="BU77" i="6"/>
  <c r="CD59" i="6"/>
  <c r="BZ69" i="6"/>
  <c r="BV77" i="6"/>
  <c r="BU75" i="6"/>
  <c r="BW77" i="6"/>
  <c r="CJ55" i="6"/>
  <c r="BC7" i="6"/>
  <c r="CA39" i="6"/>
  <c r="BX39" i="6"/>
  <c r="BU39" i="6"/>
  <c r="BW62" i="6"/>
  <c r="BU62" i="6"/>
  <c r="BV62" i="6"/>
  <c r="BZ62" i="6"/>
  <c r="BY62" i="6"/>
  <c r="BX62" i="6"/>
  <c r="CK19" i="6"/>
  <c r="AU19" i="6"/>
  <c r="CL19" i="6"/>
  <c r="CI19" i="6"/>
  <c r="CH19" i="6"/>
  <c r="CF19" i="6"/>
  <c r="CL27" i="6"/>
  <c r="CJ27" i="6"/>
  <c r="CK27" i="6"/>
  <c r="CK52" i="6"/>
  <c r="AP52" i="6"/>
  <c r="AU52" i="6" s="1"/>
  <c r="CC62" i="6"/>
  <c r="CA62" i="6"/>
  <c r="CB62" i="6"/>
  <c r="BU65" i="6"/>
  <c r="BW65" i="6"/>
  <c r="BV65" i="6"/>
  <c r="CJ12" i="6"/>
  <c r="BU12" i="6"/>
  <c r="CD12" i="6"/>
  <c r="CC30" i="6"/>
  <c r="CB30" i="6"/>
  <c r="CA30" i="6"/>
  <c r="AO52" i="6"/>
  <c r="AT52" i="6" s="1"/>
  <c r="CH69" i="6"/>
  <c r="CE69" i="6"/>
  <c r="CB69" i="6"/>
  <c r="AP69" i="6"/>
  <c r="AU69" i="6" s="1"/>
  <c r="CI16" i="6"/>
  <c r="CH16" i="6"/>
  <c r="CG16" i="6"/>
  <c r="BW18" i="6"/>
  <c r="BV18" i="6"/>
  <c r="BU18" i="6"/>
  <c r="CC29" i="6"/>
  <c r="CB29" i="6"/>
  <c r="CA29" i="6"/>
  <c r="BU34" i="6"/>
  <c r="AT34" i="6"/>
  <c r="AO46" i="6"/>
  <c r="AT46" i="6" s="1"/>
  <c r="CA46" i="6"/>
  <c r="CC50" i="6"/>
  <c r="CB50" i="6"/>
  <c r="CA50" i="6"/>
  <c r="BV58" i="6"/>
  <c r="BW58" i="6"/>
  <c r="BU58" i="6"/>
  <c r="AO12" i="6"/>
  <c r="AT12" i="6" s="1"/>
  <c r="CD46" i="6"/>
  <c r="BY47" i="6"/>
  <c r="BX47" i="6"/>
  <c r="BZ47" i="6"/>
  <c r="CF50" i="6"/>
  <c r="CE50" i="6"/>
  <c r="CD50" i="6"/>
  <c r="AQ68" i="6"/>
  <c r="AV68" i="6" s="1"/>
  <c r="BW68" i="6"/>
  <c r="AP73" i="6"/>
  <c r="AU73" i="6" s="1"/>
  <c r="CB73" i="6"/>
  <c r="CH73" i="6"/>
  <c r="CB17" i="6"/>
  <c r="CD25" i="6"/>
  <c r="CA25" i="6"/>
  <c r="AO25" i="6"/>
  <c r="AT25" i="6" s="1"/>
  <c r="BX25" i="6"/>
  <c r="AO68" i="6"/>
  <c r="AT68" i="6" s="1"/>
  <c r="CF36" i="6"/>
  <c r="CD36" i="6"/>
  <c r="CB36" i="6"/>
  <c r="CL40" i="6"/>
  <c r="CK40" i="6"/>
  <c r="CJ40" i="6"/>
  <c r="CD41" i="6"/>
  <c r="CE41" i="6"/>
  <c r="CF41" i="6"/>
  <c r="BA73" i="6"/>
  <c r="BE73" i="6"/>
  <c r="BE24" i="6"/>
  <c r="BA24" i="6"/>
  <c r="BA36" i="6"/>
  <c r="BH36" i="6" s="1"/>
  <c r="CG41" i="6"/>
  <c r="CI41" i="6"/>
  <c r="CH41" i="6"/>
  <c r="CA19" i="6"/>
  <c r="BF27" i="6"/>
  <c r="BB27" i="6"/>
  <c r="CF35" i="6"/>
  <c r="CE35" i="6"/>
  <c r="CD35" i="6"/>
  <c r="CE76" i="6"/>
  <c r="CD76" i="6"/>
  <c r="CF76" i="6"/>
  <c r="CK17" i="6"/>
  <c r="BY17" i="6"/>
  <c r="CJ25" i="6"/>
  <c r="CK25" i="6"/>
  <c r="CL25" i="6"/>
  <c r="CK57" i="6"/>
  <c r="CG57" i="6"/>
  <c r="CE57" i="6"/>
  <c r="CA57" i="6"/>
  <c r="AU57" i="6"/>
  <c r="CJ57" i="6"/>
  <c r="CB57" i="6"/>
  <c r="AV57" i="6"/>
  <c r="BX63" i="6"/>
  <c r="BZ63" i="6"/>
  <c r="BY63" i="6"/>
  <c r="BY31" i="6"/>
  <c r="BX31" i="6"/>
  <c r="BG41" i="6"/>
  <c r="BC41" i="6"/>
  <c r="CF47" i="6"/>
  <c r="CD47" i="6"/>
  <c r="BU47" i="6"/>
  <c r="BV47" i="6"/>
  <c r="CJ52" i="6"/>
  <c r="BA9" i="6"/>
  <c r="AP34" i="6"/>
  <c r="AU34" i="6" s="1"/>
  <c r="BV34" i="6"/>
  <c r="CI14" i="6"/>
  <c r="CH14" i="6"/>
  <c r="CG14" i="6"/>
  <c r="BB47" i="6"/>
  <c r="AQ52" i="6"/>
  <c r="AV52" i="6" s="1"/>
  <c r="CL52" i="6"/>
  <c r="BZ65" i="6"/>
  <c r="BX65" i="6"/>
  <c r="BY65" i="6"/>
  <c r="AP12" i="6"/>
  <c r="AU12" i="6" s="1"/>
  <c r="CK12" i="6"/>
  <c r="CE12" i="6"/>
  <c r="BX50" i="6"/>
  <c r="BZ50" i="6"/>
  <c r="BY50" i="6"/>
  <c r="CD30" i="6"/>
  <c r="CE30" i="6"/>
  <c r="CF30" i="6"/>
  <c r="BE43" i="6"/>
  <c r="BA43" i="6"/>
  <c r="BG77" i="6"/>
  <c r="AO10" i="6"/>
  <c r="AT10" i="6" s="1"/>
  <c r="CG10" i="6"/>
  <c r="BX10" i="6"/>
  <c r="CD10" i="6"/>
  <c r="CA10" i="6"/>
  <c r="CL30" i="6"/>
  <c r="CJ30" i="6"/>
  <c r="CK30" i="6"/>
  <c r="CI50" i="6"/>
  <c r="CH50" i="6"/>
  <c r="CG50" i="6"/>
  <c r="CC6" i="6"/>
  <c r="BZ6" i="6"/>
  <c r="AQ6" i="6"/>
  <c r="AV6" i="6" s="1"/>
  <c r="CF17" i="6"/>
  <c r="AQ24" i="6"/>
  <c r="AV24" i="6" s="1"/>
  <c r="CC24" i="6"/>
  <c r="AP46" i="6"/>
  <c r="AU46" i="6" s="1"/>
  <c r="BY32" i="6"/>
  <c r="BZ32" i="6"/>
  <c r="BX32" i="6"/>
  <c r="BX11" i="6"/>
  <c r="BV11" i="6"/>
  <c r="BU11" i="6"/>
  <c r="BG25" i="6"/>
  <c r="BC25" i="6"/>
  <c r="BJ25" i="6" s="1"/>
  <c r="CB32" i="6"/>
  <c r="CA32" i="6"/>
  <c r="CC32" i="6"/>
  <c r="AO44" i="6"/>
  <c r="AT44" i="6" s="1"/>
  <c r="BX44" i="6"/>
  <c r="AO61" i="6"/>
  <c r="AT61" i="6" s="1"/>
  <c r="CJ61" i="6"/>
  <c r="CG17" i="6"/>
  <c r="CD19" i="6"/>
  <c r="CA31" i="6"/>
  <c r="CI35" i="6"/>
  <c r="CH35" i="6"/>
  <c r="CG35" i="6"/>
  <c r="CK61" i="6"/>
  <c r="CH61" i="6"/>
  <c r="BZ71" i="6"/>
  <c r="BX71" i="6"/>
  <c r="BY71" i="6"/>
  <c r="CI76" i="6"/>
  <c r="CH76" i="6"/>
  <c r="CG76" i="6"/>
  <c r="CH17" i="6"/>
  <c r="CE19" i="6"/>
  <c r="CA22" i="6"/>
  <c r="AO22" i="6"/>
  <c r="AT22" i="6" s="1"/>
  <c r="CJ22" i="6"/>
  <c r="CC26" i="6"/>
  <c r="CA26" i="6"/>
  <c r="BX26" i="6"/>
  <c r="BU26" i="6"/>
  <c r="BW26" i="6"/>
  <c r="BV26" i="6"/>
  <c r="CB26" i="6"/>
  <c r="BY26" i="6"/>
  <c r="CB31" i="6"/>
  <c r="CG32" i="6"/>
  <c r="CI32" i="6"/>
  <c r="CH32" i="6"/>
  <c r="BZ60" i="6"/>
  <c r="BY60" i="6"/>
  <c r="BX60" i="6"/>
  <c r="BG64" i="6"/>
  <c r="BC64" i="6"/>
  <c r="BX67" i="6"/>
  <c r="BZ67" i="6"/>
  <c r="BY67" i="6"/>
  <c r="CF15" i="6"/>
  <c r="AQ15" i="6"/>
  <c r="AV15" i="6" s="1"/>
  <c r="CI17" i="6"/>
  <c r="AP22" i="6"/>
  <c r="AU22" i="6" s="1"/>
  <c r="CK22" i="6"/>
  <c r="CE31" i="6"/>
  <c r="BW34" i="6"/>
  <c r="CB40" i="6"/>
  <c r="CE40" i="6"/>
  <c r="AP40" i="6"/>
  <c r="AU40" i="6" s="1"/>
  <c r="BW43" i="6"/>
  <c r="BU43" i="6"/>
  <c r="BV43" i="6"/>
  <c r="AP61" i="6"/>
  <c r="AU61" i="6" s="1"/>
  <c r="CC67" i="6"/>
  <c r="CB67" i="6"/>
  <c r="CA67" i="6"/>
  <c r="BA15" i="6"/>
  <c r="BE15" i="6"/>
  <c r="BG21" i="6"/>
  <c r="BC21" i="6"/>
  <c r="CF31" i="6"/>
  <c r="CB34" i="6"/>
  <c r="BZ43" i="6"/>
  <c r="BX43" i="6"/>
  <c r="BY43" i="6"/>
  <c r="BZ53" i="6"/>
  <c r="BY53" i="6"/>
  <c r="BX53" i="6"/>
  <c r="CC59" i="6"/>
  <c r="CF16" i="6"/>
  <c r="CD16" i="6"/>
  <c r="CE16" i="6"/>
  <c r="AP6" i="6"/>
  <c r="AU6" i="6" s="1"/>
  <c r="CB6" i="6"/>
  <c r="BY6" i="6"/>
  <c r="BV13" i="6"/>
  <c r="CG13" i="6"/>
  <c r="CD13" i="6"/>
  <c r="BY13" i="6"/>
  <c r="BX13" i="6"/>
  <c r="BW13" i="6"/>
  <c r="BV12" i="6"/>
  <c r="AO19" i="6"/>
  <c r="AT19" i="6" s="1"/>
  <c r="CJ19" i="6"/>
  <c r="CG19" i="6"/>
  <c r="BV21" i="6"/>
  <c r="CE21" i="6"/>
  <c r="CB21" i="6"/>
  <c r="BA59" i="6"/>
  <c r="BE59" i="6"/>
  <c r="CF70" i="6"/>
  <c r="CE70" i="6"/>
  <c r="CD70" i="6"/>
  <c r="AP18" i="6"/>
  <c r="AU18" i="6" s="1"/>
  <c r="CK18" i="6"/>
  <c r="CE18" i="6"/>
  <c r="CB18" i="6"/>
  <c r="CH18" i="6"/>
  <c r="BY18" i="6"/>
  <c r="CF43" i="6"/>
  <c r="CE43" i="6"/>
  <c r="CD43" i="6"/>
  <c r="BY69" i="6"/>
  <c r="AP10" i="6"/>
  <c r="AU10" i="6" s="1"/>
  <c r="CH10" i="6"/>
  <c r="BV10" i="6"/>
  <c r="CE10" i="6"/>
  <c r="CB10" i="6"/>
  <c r="CI7" i="6"/>
  <c r="CH7" i="6"/>
  <c r="CE6" i="6"/>
  <c r="CF6" i="6"/>
  <c r="CD6" i="6"/>
  <c r="BZ24" i="6"/>
  <c r="AP39" i="6"/>
  <c r="AU39" i="6" s="1"/>
  <c r="BY39" i="6"/>
  <c r="CI6" i="6"/>
  <c r="CH6" i="6"/>
  <c r="CG6" i="6"/>
  <c r="BX12" i="6"/>
  <c r="BG16" i="6"/>
  <c r="BC16" i="6"/>
  <c r="CE37" i="6"/>
  <c r="CF37" i="6"/>
  <c r="CD37" i="6"/>
  <c r="AQ39" i="6"/>
  <c r="AV39" i="6" s="1"/>
  <c r="BZ39" i="6"/>
  <c r="CI59" i="6"/>
  <c r="CH70" i="6"/>
  <c r="CG70" i="6"/>
  <c r="CI70" i="6"/>
  <c r="CJ6" i="6"/>
  <c r="CL6" i="6"/>
  <c r="CK6" i="6"/>
  <c r="BY12" i="6"/>
  <c r="BW14" i="6"/>
  <c r="BV14" i="6"/>
  <c r="BU14" i="6"/>
  <c r="BB21" i="6"/>
  <c r="BI21" i="6" s="1"/>
  <c r="BW23" i="6"/>
  <c r="BV23" i="6"/>
  <c r="BU23" i="6"/>
  <c r="CI25" i="6"/>
  <c r="CH25" i="6"/>
  <c r="CG25" i="6"/>
  <c r="BW63" i="6"/>
  <c r="BV63" i="6"/>
  <c r="BU63" i="6"/>
  <c r="BX66" i="6"/>
  <c r="CB66" i="6"/>
  <c r="CA66" i="6"/>
  <c r="BZ66" i="6"/>
  <c r="BY66" i="6"/>
  <c r="CK70" i="6"/>
  <c r="CJ70" i="6"/>
  <c r="CL70" i="6"/>
  <c r="BZ14" i="6"/>
  <c r="AQ14" i="6"/>
  <c r="AV14" i="6" s="1"/>
  <c r="BW27" i="6"/>
  <c r="BX28" i="6"/>
  <c r="BY28" i="6"/>
  <c r="CA47" i="6"/>
  <c r="CA16" i="6"/>
  <c r="AO16" i="6"/>
  <c r="AT16" i="6" s="1"/>
  <c r="CJ16" i="6"/>
  <c r="AO32" i="6"/>
  <c r="AT32" i="6" s="1"/>
  <c r="BU32" i="6"/>
  <c r="CC33" i="6"/>
  <c r="CB33" i="6"/>
  <c r="CA33" i="6"/>
  <c r="BZ45" i="6"/>
  <c r="BX45" i="6"/>
  <c r="BY45" i="6"/>
  <c r="CC58" i="6"/>
  <c r="CA58" i="6"/>
  <c r="CB58" i="6"/>
  <c r="CI65" i="6"/>
  <c r="CH65" i="6"/>
  <c r="CG65" i="6"/>
  <c r="BY72" i="6"/>
  <c r="BX72" i="6"/>
  <c r="BZ72" i="6"/>
  <c r="CK75" i="6"/>
  <c r="CE75" i="6"/>
  <c r="AP75" i="6"/>
  <c r="AU75" i="6" s="1"/>
  <c r="CC10" i="6"/>
  <c r="BZ21" i="6"/>
  <c r="BX21" i="6"/>
  <c r="BY25" i="6"/>
  <c r="CD28" i="6"/>
  <c r="BW36" i="6"/>
  <c r="BV36" i="6"/>
  <c r="BU36" i="6"/>
  <c r="CE58" i="6"/>
  <c r="CD58" i="6"/>
  <c r="CF58" i="6"/>
  <c r="CL64" i="6"/>
  <c r="CI75" i="6"/>
  <c r="BU31" i="6"/>
  <c r="BW31" i="6"/>
  <c r="BV31" i="6"/>
  <c r="BY36" i="6"/>
  <c r="BX36" i="6"/>
  <c r="BZ36" i="6"/>
  <c r="BB55" i="6"/>
  <c r="BF55" i="6"/>
  <c r="AO75" i="6"/>
  <c r="AT75" i="6" s="1"/>
  <c r="BW15" i="6"/>
  <c r="AO23" i="6"/>
  <c r="AT23" i="6" s="1"/>
  <c r="CG39" i="6"/>
  <c r="CH39" i="6"/>
  <c r="CI39" i="6"/>
  <c r="BV54" i="6"/>
  <c r="BW54" i="6"/>
  <c r="CF10" i="6"/>
  <c r="CG11" i="6"/>
  <c r="CH11" i="6"/>
  <c r="CF14" i="6"/>
  <c r="BZ15" i="6"/>
  <c r="BY15" i="6"/>
  <c r="BX15" i="6"/>
  <c r="CD18" i="6"/>
  <c r="AO21" i="6"/>
  <c r="AT21" i="6" s="1"/>
  <c r="BU21" i="6"/>
  <c r="AP23" i="6"/>
  <c r="AU23" i="6" s="1"/>
  <c r="BZ28" i="6"/>
  <c r="BX34" i="6"/>
  <c r="BZ34" i="6"/>
  <c r="BY34" i="6"/>
  <c r="CE56" i="6"/>
  <c r="CD63" i="6"/>
  <c r="CK11" i="6"/>
  <c r="CJ11" i="6"/>
  <c r="BE27" i="6"/>
  <c r="AP38" i="6"/>
  <c r="AU38" i="6" s="1"/>
  <c r="CE38" i="6"/>
  <c r="BV38" i="6"/>
  <c r="CF56" i="6"/>
  <c r="CE63" i="6"/>
  <c r="AQ65" i="6"/>
  <c r="AV65" i="6" s="1"/>
  <c r="CF65" i="6"/>
  <c r="CI68" i="6"/>
  <c r="CH68" i="6"/>
  <c r="CG68" i="6"/>
  <c r="CK71" i="6"/>
  <c r="CH71" i="6"/>
  <c r="AP71" i="6"/>
  <c r="AU71" i="6" s="1"/>
  <c r="AQ17" i="6"/>
  <c r="AV17" i="6" s="1"/>
  <c r="CL17" i="6"/>
  <c r="CD34" i="6"/>
  <c r="CF34" i="6"/>
  <c r="CE34" i="6"/>
  <c r="BG38" i="6"/>
  <c r="BC38" i="6"/>
  <c r="BV42" i="6"/>
  <c r="BU42" i="6"/>
  <c r="BW42" i="6"/>
  <c r="BG50" i="6"/>
  <c r="BC50" i="6"/>
  <c r="CH56" i="6"/>
  <c r="CJ63" i="6"/>
  <c r="AO63" i="6"/>
  <c r="AT63" i="6" s="1"/>
  <c r="CA63" i="6"/>
  <c r="BW8" i="6"/>
  <c r="CF12" i="6"/>
  <c r="CK14" i="6"/>
  <c r="CA21" i="6"/>
  <c r="CL23" i="6"/>
  <c r="CG34" i="6"/>
  <c r="CH34" i="6"/>
  <c r="CI34" i="6"/>
  <c r="BY40" i="6"/>
  <c r="BZ40" i="6"/>
  <c r="CE44" i="6"/>
  <c r="CD44" i="6"/>
  <c r="BV46" i="6"/>
  <c r="BU46" i="6"/>
  <c r="CC47" i="6"/>
  <c r="CF52" i="6"/>
  <c r="CE52" i="6"/>
  <c r="CD52" i="6"/>
  <c r="BY55" i="6"/>
  <c r="BZ55" i="6"/>
  <c r="BX55" i="6"/>
  <c r="AP63" i="6"/>
  <c r="AU63" i="6" s="1"/>
  <c r="CB63" i="6"/>
  <c r="CK63" i="6"/>
  <c r="BG72" i="6"/>
  <c r="CF72" i="6"/>
  <c r="BU73" i="6"/>
  <c r="BW45" i="6"/>
  <c r="BV45" i="6"/>
  <c r="BU45" i="6"/>
  <c r="BY58" i="6"/>
  <c r="BZ58" i="6"/>
  <c r="BV72" i="6"/>
  <c r="BW72" i="6"/>
  <c r="BU72" i="6"/>
  <c r="CC13" i="6"/>
  <c r="AO41" i="6"/>
  <c r="AT41" i="6" s="1"/>
  <c r="BU41" i="6"/>
  <c r="BC55" i="6"/>
  <c r="BG55" i="6"/>
  <c r="AV61" i="6"/>
  <c r="AP16" i="6"/>
  <c r="AU16" i="6" s="1"/>
  <c r="CK16" i="6"/>
  <c r="CC17" i="6"/>
  <c r="BE40" i="6"/>
  <c r="CA45" i="6"/>
  <c r="CB45" i="6"/>
  <c r="CC45" i="6"/>
  <c r="AQ56" i="6"/>
  <c r="AV56" i="6" s="1"/>
  <c r="CA11" i="6"/>
  <c r="BX23" i="6"/>
  <c r="AP25" i="6"/>
  <c r="AU25" i="6" s="1"/>
  <c r="BG35" i="6"/>
  <c r="CD39" i="6"/>
  <c r="CF39" i="6"/>
  <c r="CE39" i="6"/>
  <c r="CE45" i="6"/>
  <c r="CD45" i="6"/>
  <c r="BU49" i="6"/>
  <c r="BW49" i="6"/>
  <c r="CI58" i="6"/>
  <c r="CG58" i="6"/>
  <c r="AP62" i="6"/>
  <c r="AU62" i="6" s="1"/>
  <c r="CH62" i="6"/>
  <c r="BX68" i="6"/>
  <c r="BY68" i="6"/>
  <c r="CJ75" i="6"/>
  <c r="CD11" i="6"/>
  <c r="CF11" i="6"/>
  <c r="CE11" i="6"/>
  <c r="CF23" i="6"/>
  <c r="CF24" i="6"/>
  <c r="CE24" i="6"/>
  <c r="CD24" i="6"/>
  <c r="CF26" i="6"/>
  <c r="BF32" i="6"/>
  <c r="BB32" i="6"/>
  <c r="CI51" i="6"/>
  <c r="CG51" i="6"/>
  <c r="CL58" i="6"/>
  <c r="CK58" i="6"/>
  <c r="CJ58" i="6"/>
  <c r="CF62" i="6"/>
  <c r="AQ62" i="6"/>
  <c r="AV62" i="6" s="1"/>
  <c r="CK62" i="6"/>
  <c r="CJ8" i="6"/>
  <c r="CL8" i="6"/>
  <c r="CK8" i="6"/>
  <c r="BX17" i="6"/>
  <c r="BA40" i="6"/>
  <c r="BY59" i="6"/>
  <c r="BX59" i="6"/>
  <c r="CF68" i="6"/>
  <c r="CD68" i="6"/>
  <c r="CE68" i="6"/>
  <c r="CF73" i="6"/>
  <c r="CE73" i="6"/>
  <c r="CD73" i="6"/>
  <c r="CJ76" i="6"/>
  <c r="CF77" i="6"/>
  <c r="CE77" i="6"/>
  <c r="CD77" i="6"/>
  <c r="BZ12" i="6"/>
  <c r="CC15" i="6"/>
  <c r="CA15" i="6"/>
  <c r="CB15" i="6"/>
  <c r="BV20" i="6"/>
  <c r="BU20" i="6"/>
  <c r="BW20" i="6"/>
  <c r="CC34" i="6"/>
  <c r="CA34" i="6"/>
  <c r="BF48" i="6"/>
  <c r="BF76" i="6"/>
  <c r="CK76" i="6"/>
  <c r="CI77" i="6"/>
  <c r="CG77" i="6"/>
  <c r="CH77" i="6"/>
  <c r="CF7" i="6"/>
  <c r="CE7" i="6"/>
  <c r="AQ8" i="6"/>
  <c r="AV8" i="6" s="1"/>
  <c r="BV8" i="6"/>
  <c r="CJ14" i="6"/>
  <c r="CA17" i="6"/>
  <c r="CG18" i="6"/>
  <c r="BY20" i="6"/>
  <c r="BX20" i="6"/>
  <c r="BY21" i="6"/>
  <c r="BW22" i="6"/>
  <c r="BV22" i="6"/>
  <c r="BU22" i="6"/>
  <c r="CK23" i="6"/>
  <c r="BU24" i="6"/>
  <c r="CE28" i="6"/>
  <c r="AP33" i="6"/>
  <c r="AU33" i="6" s="1"/>
  <c r="CE33" i="6"/>
  <c r="BY33" i="6"/>
  <c r="BC35" i="6"/>
  <c r="CB47" i="6"/>
  <c r="CC52" i="6"/>
  <c r="CB52" i="6"/>
  <c r="BU64" i="6"/>
  <c r="BV64" i="6"/>
  <c r="CK68" i="6"/>
  <c r="CJ68" i="6"/>
  <c r="BF70" i="6"/>
  <c r="BB70" i="6"/>
  <c r="CC71" i="6"/>
  <c r="AQ71" i="6"/>
  <c r="AV71" i="6" s="1"/>
  <c r="CF71" i="6"/>
  <c r="AQ76" i="6"/>
  <c r="AV76" i="6" s="1"/>
  <c r="CL76" i="6"/>
  <c r="BZ76" i="6"/>
  <c r="BW24" i="6"/>
  <c r="CF28" i="6"/>
  <c r="CF33" i="6"/>
  <c r="BE38" i="6"/>
  <c r="BA38" i="6"/>
  <c r="BZ42" i="6"/>
  <c r="BY42" i="6"/>
  <c r="BX42" i="6"/>
  <c r="AU50" i="6"/>
  <c r="AT50" i="6"/>
  <c r="CL50" i="6"/>
  <c r="CF53" i="6"/>
  <c r="CC53" i="6"/>
  <c r="CG54" i="6"/>
  <c r="CI54" i="6"/>
  <c r="CG63" i="6"/>
  <c r="CJ66" i="6"/>
  <c r="BG70" i="6"/>
  <c r="BC70" i="6"/>
  <c r="CK5" i="6"/>
  <c r="CI5" i="6"/>
  <c r="CH5" i="6"/>
  <c r="CG5" i="6"/>
  <c r="CF5" i="6"/>
  <c r="CA5" i="6"/>
  <c r="CL7" i="6"/>
  <c r="CK7" i="6"/>
  <c r="CJ7" i="6"/>
  <c r="AT8" i="6"/>
  <c r="CF9" i="6"/>
  <c r="BY11" i="6"/>
  <c r="AP11" i="6"/>
  <c r="AU11" i="6" s="1"/>
  <c r="CB11" i="6"/>
  <c r="CI12" i="6"/>
  <c r="CG12" i="6"/>
  <c r="CH12" i="6"/>
  <c r="CB13" i="6"/>
  <c r="CD17" i="6"/>
  <c r="BV19" i="6"/>
  <c r="BU19" i="6"/>
  <c r="BW19" i="6"/>
  <c r="BX24" i="6"/>
  <c r="CD26" i="6"/>
  <c r="AP28" i="6"/>
  <c r="AU28" i="6" s="1"/>
  <c r="CB28" i="6"/>
  <c r="CH33" i="6"/>
  <c r="CJ34" i="6"/>
  <c r="CK34" i="6"/>
  <c r="CC42" i="6"/>
  <c r="CB42" i="6"/>
  <c r="CA42" i="6"/>
  <c r="CH44" i="6"/>
  <c r="CG44" i="6"/>
  <c r="BF47" i="6"/>
  <c r="BV48" i="6"/>
  <c r="BU48" i="6"/>
  <c r="BV49" i="6"/>
  <c r="CC51" i="6"/>
  <c r="CI52" i="6"/>
  <c r="CH52" i="6"/>
  <c r="CA55" i="6"/>
  <c r="CC55" i="6"/>
  <c r="CB55" i="6"/>
  <c r="AQ63" i="6"/>
  <c r="AV63" i="6" s="1"/>
  <c r="CI63" i="6"/>
  <c r="CH63" i="6"/>
  <c r="CF67" i="6"/>
  <c r="BX70" i="6"/>
  <c r="BW70" i="6"/>
  <c r="BV73" i="6"/>
  <c r="CB5" i="6"/>
  <c r="CG9" i="6"/>
  <c r="BW11" i="6"/>
  <c r="AQ11" i="6"/>
  <c r="AV11" i="6" s="1"/>
  <c r="CC11" i="6"/>
  <c r="CL12" i="6"/>
  <c r="BU15" i="6"/>
  <c r="BU16" i="6"/>
  <c r="BW16" i="6"/>
  <c r="BV16" i="6"/>
  <c r="CE17" i="6"/>
  <c r="BZ19" i="6"/>
  <c r="BX19" i="6"/>
  <c r="BY19" i="6"/>
  <c r="BW21" i="6"/>
  <c r="CD21" i="6"/>
  <c r="CD22" i="6"/>
  <c r="CE22" i="6"/>
  <c r="CF22" i="6"/>
  <c r="BY24" i="6"/>
  <c r="CE26" i="6"/>
  <c r="BU29" i="6"/>
  <c r="BV29" i="6"/>
  <c r="BW29" i="6"/>
  <c r="AQ33" i="6"/>
  <c r="AV33" i="6" s="1"/>
  <c r="CI33" i="6"/>
  <c r="BY37" i="6"/>
  <c r="BZ37" i="6"/>
  <c r="CF42" i="6"/>
  <c r="CE42" i="6"/>
  <c r="CD42" i="6"/>
  <c r="BZ48" i="6"/>
  <c r="BX48" i="6"/>
  <c r="BY48" i="6"/>
  <c r="AU51" i="6"/>
  <c r="BU54" i="6"/>
  <c r="CF55" i="6"/>
  <c r="CE55" i="6"/>
  <c r="CD55" i="6"/>
  <c r="AQ66" i="6"/>
  <c r="AV66" i="6" s="1"/>
  <c r="CL66" i="6"/>
  <c r="CI72" i="6"/>
  <c r="CC5" i="6"/>
  <c r="AT7" i="6"/>
  <c r="CB8" i="6"/>
  <c r="CI11" i="6"/>
  <c r="BV15" i="6"/>
  <c r="BX16" i="6"/>
  <c r="BZ16" i="6"/>
  <c r="CC19" i="6"/>
  <c r="CB19" i="6"/>
  <c r="CI22" i="6"/>
  <c r="CH22" i="6"/>
  <c r="CG22" i="6"/>
  <c r="AP24" i="6"/>
  <c r="AU24" i="6" s="1"/>
  <c r="CB24" i="6"/>
  <c r="BZ27" i="6"/>
  <c r="BY27" i="6"/>
  <c r="BX27" i="6"/>
  <c r="BZ29" i="6"/>
  <c r="BY29" i="6"/>
  <c r="BX29" i="6"/>
  <c r="CC31" i="6"/>
  <c r="BZ31" i="6"/>
  <c r="CL33" i="6"/>
  <c r="CC37" i="6"/>
  <c r="CB37" i="6"/>
  <c r="CI40" i="6"/>
  <c r="CG40" i="6"/>
  <c r="CH40" i="6"/>
  <c r="CF46" i="6"/>
  <c r="CE46" i="6"/>
  <c r="BW47" i="6"/>
  <c r="AQ51" i="6"/>
  <c r="AV51" i="6" s="1"/>
  <c r="CH51" i="6"/>
  <c r="CI55" i="6"/>
  <c r="CH55" i="6"/>
  <c r="CH60" i="6"/>
  <c r="BZ68" i="6"/>
  <c r="BU71" i="6"/>
  <c r="AU72" i="6"/>
  <c r="CL72" i="6"/>
  <c r="CK74" i="6"/>
  <c r="CJ74" i="6"/>
  <c r="CL74" i="6"/>
  <c r="AF31" i="6"/>
  <c r="AO31" i="6" s="1"/>
  <c r="AT31" i="6" s="1"/>
  <c r="AF30" i="6"/>
  <c r="AO30" i="6" s="1"/>
  <c r="AT30" i="6" s="1"/>
  <c r="CK10" i="6"/>
  <c r="CJ10" i="6"/>
  <c r="BZ23" i="6"/>
  <c r="BY23" i="6"/>
  <c r="CC57" i="6"/>
  <c r="CB61" i="6"/>
  <c r="CD62" i="6"/>
  <c r="CC23" i="6"/>
  <c r="CB23" i="6"/>
  <c r="CA23" i="6"/>
  <c r="CJ31" i="6"/>
  <c r="CL31" i="6"/>
  <c r="BV32" i="6"/>
  <c r="CE32" i="6"/>
  <c r="BW39" i="6"/>
  <c r="BV39" i="6"/>
  <c r="CF57" i="6"/>
  <c r="CD57" i="6"/>
  <c r="CE61" i="6"/>
  <c r="CD61" i="6"/>
  <c r="AU65" i="6"/>
  <c r="CJ65" i="6"/>
  <c r="BW10" i="6"/>
  <c r="CE13" i="6"/>
  <c r="CL13" i="6"/>
  <c r="CK13" i="6"/>
  <c r="CF18" i="6"/>
  <c r="CE23" i="6"/>
  <c r="CD23" i="6"/>
  <c r="BZ25" i="6"/>
  <c r="BU33" i="6"/>
  <c r="BV33" i="6"/>
  <c r="AO48" i="6"/>
  <c r="AT48" i="6" s="1"/>
  <c r="CD48" i="6"/>
  <c r="AO51" i="6"/>
  <c r="AT51" i="6" s="1"/>
  <c r="CA51" i="6"/>
  <c r="CI57" i="6"/>
  <c r="CH57" i="6"/>
  <c r="CG71" i="6"/>
  <c r="AQ74" i="6"/>
  <c r="AV74" i="6" s="1"/>
  <c r="AQ69" i="6"/>
  <c r="AV69" i="6" s="1"/>
  <c r="CF69" i="6"/>
  <c r="AP74" i="6"/>
  <c r="AU74" i="6" s="1"/>
  <c r="CE74" i="6"/>
  <c r="BY75" i="6"/>
  <c r="BZ75" i="6"/>
  <c r="BX75" i="6"/>
  <c r="CC9" i="6"/>
  <c r="CL51" i="6"/>
  <c r="CE59" i="6"/>
  <c r="CF59" i="6"/>
  <c r="BZ5" i="6"/>
  <c r="CL9" i="6"/>
  <c r="CK9" i="6"/>
  <c r="BW12" i="6"/>
  <c r="CF13" i="6"/>
  <c r="BB14" i="6"/>
  <c r="BI14" i="6" s="1"/>
  <c r="BV17" i="6"/>
  <c r="BU17" i="6"/>
  <c r="BW17" i="6"/>
  <c r="CI23" i="6"/>
  <c r="CC25" i="6"/>
  <c r="CB25" i="6"/>
  <c r="BU28" i="6"/>
  <c r="BW28" i="6"/>
  <c r="BV28" i="6"/>
  <c r="BW30" i="6"/>
  <c r="BU30" i="6"/>
  <c r="CD38" i="6"/>
  <c r="CC39" i="6"/>
  <c r="CB39" i="6"/>
  <c r="CC44" i="6"/>
  <c r="CB51" i="6"/>
  <c r="CK51" i="6"/>
  <c r="AU53" i="6"/>
  <c r="CD69" i="6"/>
  <c r="CB72" i="6"/>
  <c r="CA74" i="6"/>
  <c r="CL75" i="6"/>
  <c r="CI73" i="6"/>
  <c r="BZ73" i="6"/>
  <c r="AV73" i="6"/>
  <c r="CA73" i="6"/>
  <c r="CC73" i="6"/>
  <c r="BU7" i="6"/>
  <c r="CE15" i="6"/>
  <c r="CL16" i="6"/>
  <c r="CJ17" i="6"/>
  <c r="CC27" i="6"/>
  <c r="CB27" i="6"/>
  <c r="CC28" i="6"/>
  <c r="CA36" i="6"/>
  <c r="BZ54" i="6"/>
  <c r="BX54" i="6"/>
  <c r="CG59" i="6"/>
  <c r="CH59" i="6"/>
  <c r="BY64" i="6"/>
  <c r="CC74" i="6"/>
  <c r="CB74" i="6"/>
  <c r="BV76" i="6"/>
  <c r="BW76" i="6"/>
  <c r="BZ7" i="6"/>
  <c r="BX7" i="6"/>
  <c r="BV9" i="6"/>
  <c r="BU9" i="6"/>
  <c r="BU10" i="6"/>
  <c r="BU13" i="6"/>
  <c r="CL20" i="6"/>
  <c r="CH21" i="6"/>
  <c r="CI21" i="6"/>
  <c r="CE27" i="6"/>
  <c r="CF27" i="6"/>
  <c r="CD27" i="6"/>
  <c r="CF32" i="6"/>
  <c r="BY38" i="6"/>
  <c r="BX38" i="6"/>
  <c r="BZ38" i="6"/>
  <c r="BW44" i="6"/>
  <c r="BV44" i="6"/>
  <c r="BU44" i="6"/>
  <c r="CC54" i="6"/>
  <c r="CB54" i="6"/>
  <c r="CA54" i="6"/>
  <c r="AT60" i="6"/>
  <c r="AT64" i="6"/>
  <c r="BZ64" i="6"/>
  <c r="CH67" i="6"/>
  <c r="CG67" i="6"/>
  <c r="BY70" i="6"/>
  <c r="CG72" i="6"/>
  <c r="CG73" i="6"/>
  <c r="AQ5" i="6"/>
  <c r="AV5" i="6" s="1"/>
  <c r="CL5" i="6"/>
  <c r="BY8" i="6"/>
  <c r="BX8" i="6"/>
  <c r="BZ9" i="6"/>
  <c r="BY9" i="6"/>
  <c r="BZ13" i="6"/>
  <c r="CE14" i="6"/>
  <c r="AV19" i="6"/>
  <c r="CK20" i="6"/>
  <c r="CK21" i="6"/>
  <c r="CJ21" i="6"/>
  <c r="BZ26" i="6"/>
  <c r="AQ28" i="6"/>
  <c r="AV28" i="6" s="1"/>
  <c r="CD31" i="6"/>
  <c r="AU36" i="6"/>
  <c r="CC38" i="6"/>
  <c r="CB38" i="6"/>
  <c r="CA38" i="6"/>
  <c r="CF51" i="6"/>
  <c r="CE51" i="6"/>
  <c r="CD51" i="6"/>
  <c r="CF54" i="6"/>
  <c r="CE54" i="6"/>
  <c r="AO56" i="6"/>
  <c r="AT56" i="6" s="1"/>
  <c r="CD56" i="6"/>
  <c r="CL56" i="6"/>
  <c r="AU64" i="6"/>
  <c r="BU66" i="6"/>
  <c r="BV66" i="6"/>
  <c r="BW66" i="6"/>
  <c r="CK67" i="6"/>
  <c r="CL67" i="6"/>
  <c r="CK72" i="6"/>
  <c r="CJ72" i="6"/>
  <c r="CH74" i="6"/>
  <c r="CG74" i="6"/>
  <c r="CI74" i="6"/>
  <c r="CC76" i="6"/>
  <c r="CB76" i="6"/>
  <c r="CA76" i="6"/>
  <c r="CK77" i="6"/>
  <c r="CJ77" i="6"/>
  <c r="CC77" i="6"/>
  <c r="CB77" i="6"/>
  <c r="CA77" i="6"/>
  <c r="BZ77" i="6"/>
  <c r="CC18" i="6"/>
  <c r="BU35" i="6"/>
  <c r="BW35" i="6"/>
  <c r="CE36" i="6"/>
  <c r="BX41" i="6"/>
  <c r="CH47" i="6"/>
  <c r="CG47" i="6"/>
  <c r="CK49" i="6"/>
  <c r="CG49" i="6"/>
  <c r="BW52" i="6"/>
  <c r="BV52" i="6"/>
  <c r="AT57" i="6"/>
  <c r="CI71" i="6"/>
  <c r="CH37" i="6"/>
  <c r="CG37" i="6"/>
  <c r="AO49" i="6"/>
  <c r="AT49" i="6" s="1"/>
  <c r="CJ49" i="6"/>
  <c r="CK50" i="6"/>
  <c r="CC56" i="6"/>
  <c r="CB56" i="6"/>
  <c r="CL57" i="6"/>
  <c r="CE62" i="6"/>
  <c r="CI64" i="6"/>
  <c r="CG64" i="6"/>
  <c r="AT65" i="6"/>
  <c r="CL65" i="6"/>
  <c r="CE71" i="6"/>
  <c r="CD71" i="6"/>
  <c r="AT72" i="6"/>
  <c r="CC75" i="6"/>
  <c r="CB75" i="6"/>
  <c r="CA75" i="6"/>
  <c r="CI18" i="6"/>
  <c r="CI10" i="6"/>
  <c r="BZ11" i="6"/>
  <c r="CL18" i="6"/>
  <c r="BZ35" i="6"/>
  <c r="BY35" i="6"/>
  <c r="CC41" i="6"/>
  <c r="CA41" i="6"/>
  <c r="CB41" i="6"/>
  <c r="AT47" i="6"/>
  <c r="CB53" i="6"/>
  <c r="CG56" i="6"/>
  <c r="AT62" i="6"/>
  <c r="CJ67" i="6"/>
  <c r="CJ71" i="6"/>
  <c r="CL71" i="6"/>
  <c r="CH75" i="6"/>
  <c r="CG75" i="6"/>
  <c r="CI60" i="6"/>
  <c r="CL61" i="6"/>
  <c r="CC64" i="6"/>
  <c r="CA65" i="6"/>
  <c r="CB65" i="6"/>
  <c r="BZ17" i="6"/>
  <c r="CI20" i="6"/>
  <c r="CF29" i="6"/>
  <c r="CE29" i="6"/>
  <c r="BX30" i="6"/>
  <c r="CL60" i="6"/>
  <c r="CK60" i="6"/>
  <c r="CF64" i="6"/>
  <c r="CD64" i="6"/>
  <c r="CK66" i="6"/>
  <c r="AP66" i="6"/>
  <c r="AU66" i="6" s="1"/>
  <c r="CC66" i="6"/>
  <c r="BV69" i="6"/>
  <c r="BU69" i="6"/>
  <c r="CJ69" i="6"/>
  <c r="CC21" i="6"/>
  <c r="AU29" i="6"/>
  <c r="CI31" i="6"/>
  <c r="CG31" i="6"/>
  <c r="CD32" i="6"/>
  <c r="CE47" i="6"/>
  <c r="CC48" i="6"/>
  <c r="CA48" i="6"/>
  <c r="CE67" i="6"/>
  <c r="CD67" i="6"/>
  <c r="CC68" i="6"/>
  <c r="CB68" i="6"/>
  <c r="CA68" i="6"/>
  <c r="AT69" i="6"/>
  <c r="CB71" i="6"/>
  <c r="CC72" i="6"/>
  <c r="CJ73" i="6"/>
  <c r="BY73" i="6"/>
  <c r="BX76" i="6"/>
  <c r="CC36" i="6"/>
  <c r="BV40" i="6"/>
  <c r="CC46" i="6"/>
  <c r="CE49" i="6"/>
  <c r="CL59" i="6"/>
  <c r="CI69" i="6"/>
  <c r="CC40" i="6"/>
  <c r="CL49" i="6"/>
  <c r="CK56" i="6"/>
  <c r="AT53" i="6"/>
  <c r="CL63" i="6"/>
  <c r="CC70" i="6"/>
  <c r="CB70" i="6"/>
  <c r="CL73" i="6"/>
  <c r="BB58" i="6" l="1"/>
  <c r="BB20" i="6"/>
  <c r="BI20" i="6" s="1"/>
  <c r="BJ50" i="6"/>
  <c r="BE28" i="6"/>
  <c r="BJ38" i="6"/>
  <c r="BA70" i="6"/>
  <c r="BH70" i="6" s="1"/>
  <c r="BA67" i="6"/>
  <c r="BH67" i="6" s="1"/>
  <c r="BE71" i="6"/>
  <c r="BH71" i="6" s="1"/>
  <c r="BA74" i="6"/>
  <c r="BH74" i="6" s="1"/>
  <c r="BB45" i="6"/>
  <c r="BI45" i="6" s="1"/>
  <c r="BG40" i="6"/>
  <c r="BJ40" i="6" s="1"/>
  <c r="BC13" i="6"/>
  <c r="BJ13" i="6" s="1"/>
  <c r="BB35" i="6"/>
  <c r="BI35" i="6" s="1"/>
  <c r="BG27" i="6"/>
  <c r="BJ27" i="6" s="1"/>
  <c r="BF26" i="6"/>
  <c r="BI26" i="6" s="1"/>
  <c r="BG30" i="6"/>
  <c r="BJ30" i="6" s="1"/>
  <c r="BA6" i="6"/>
  <c r="BH6" i="6" s="1"/>
  <c r="BF7" i="6"/>
  <c r="BI7" i="6" s="1"/>
  <c r="BC31" i="6"/>
  <c r="BJ31" i="6" s="1"/>
  <c r="BJ41" i="6"/>
  <c r="BC48" i="6"/>
  <c r="BJ48" i="6" s="1"/>
  <c r="BF30" i="6"/>
  <c r="BI30" i="6" s="1"/>
  <c r="BB54" i="6"/>
  <c r="BI54" i="6" s="1"/>
  <c r="BB15" i="6"/>
  <c r="BI15" i="6" s="1"/>
  <c r="BC53" i="6"/>
  <c r="BJ53" i="6" s="1"/>
  <c r="BA77" i="6"/>
  <c r="BH77" i="6" s="1"/>
  <c r="BC37" i="6"/>
  <c r="BJ37" i="6" s="1"/>
  <c r="BA14" i="6"/>
  <c r="BH14" i="6" s="1"/>
  <c r="BC23" i="6"/>
  <c r="BJ23" i="6" s="1"/>
  <c r="BB77" i="6"/>
  <c r="BI77" i="6" s="1"/>
  <c r="BC67" i="6"/>
  <c r="BJ67" i="6" s="1"/>
  <c r="BA5" i="6"/>
  <c r="BH5" i="6" s="1"/>
  <c r="BB17" i="6"/>
  <c r="BI17" i="6" s="1"/>
  <c r="BI27" i="6"/>
  <c r="BE39" i="6"/>
  <c r="BH39" i="6" s="1"/>
  <c r="BB59" i="6"/>
  <c r="BI59" i="6" s="1"/>
  <c r="BB13" i="6"/>
  <c r="BI13" i="6" s="1"/>
  <c r="BG32" i="6"/>
  <c r="BJ32" i="6" s="1"/>
  <c r="BE37" i="6"/>
  <c r="BH37" i="6" s="1"/>
  <c r="BF56" i="6"/>
  <c r="BI56" i="6" s="1"/>
  <c r="BG59" i="6"/>
  <c r="BJ59" i="6" s="1"/>
  <c r="BA29" i="6"/>
  <c r="BH29" i="6" s="1"/>
  <c r="BC29" i="6"/>
  <c r="BJ29" i="6" s="1"/>
  <c r="BC58" i="6"/>
  <c r="BJ58" i="6" s="1"/>
  <c r="BA26" i="6"/>
  <c r="BH26" i="6" s="1"/>
  <c r="BC54" i="6"/>
  <c r="BJ54" i="6" s="1"/>
  <c r="BA42" i="6"/>
  <c r="BH42" i="6" s="1"/>
  <c r="BH27" i="6"/>
  <c r="BE55" i="6"/>
  <c r="BH55" i="6" s="1"/>
  <c r="BG36" i="6"/>
  <c r="BJ36" i="6" s="1"/>
  <c r="BE54" i="6"/>
  <c r="BH54" i="6" s="1"/>
  <c r="BC34" i="6"/>
  <c r="BJ34" i="6" s="1"/>
  <c r="BC46" i="6"/>
  <c r="BJ46" i="6" s="1"/>
  <c r="BI32" i="6"/>
  <c r="BB49" i="6"/>
  <c r="BI49" i="6" s="1"/>
  <c r="BB37" i="6"/>
  <c r="BI37" i="6" s="1"/>
  <c r="BA11" i="6"/>
  <c r="BH11" i="6" s="1"/>
  <c r="BG47" i="6"/>
  <c r="BJ47" i="6" s="1"/>
  <c r="BC42" i="6"/>
  <c r="BJ42" i="6" s="1"/>
  <c r="BC22" i="6"/>
  <c r="BJ22" i="6" s="1"/>
  <c r="BH24" i="6"/>
  <c r="BG12" i="6"/>
  <c r="BJ12" i="6" s="1"/>
  <c r="BB41" i="6"/>
  <c r="BI41" i="6" s="1"/>
  <c r="BA58" i="6"/>
  <c r="BH58" i="6" s="1"/>
  <c r="BF42" i="6"/>
  <c r="BI42" i="6" s="1"/>
  <c r="BB44" i="6"/>
  <c r="BI44" i="6" s="1"/>
  <c r="BJ49" i="6"/>
  <c r="BA76" i="6"/>
  <c r="BH76" i="6" s="1"/>
  <c r="BF60" i="6"/>
  <c r="BI60" i="6" s="1"/>
  <c r="BB9" i="6"/>
  <c r="BI9" i="6" s="1"/>
  <c r="BE33" i="6"/>
  <c r="BH33" i="6" s="1"/>
  <c r="BI76" i="6"/>
  <c r="BA17" i="6"/>
  <c r="BH17" i="6" s="1"/>
  <c r="BC26" i="6"/>
  <c r="BJ26" i="6" s="1"/>
  <c r="BJ72" i="6"/>
  <c r="G13" i="2"/>
  <c r="BG18" i="6"/>
  <c r="BJ18" i="6" s="1"/>
  <c r="BB68" i="6"/>
  <c r="BI68" i="6" s="1"/>
  <c r="BB8" i="6"/>
  <c r="BI8" i="6" s="1"/>
  <c r="BH59" i="6"/>
  <c r="BA13" i="6"/>
  <c r="BH13" i="6" s="1"/>
  <c r="BA18" i="6"/>
  <c r="BH18" i="6" s="1"/>
  <c r="BB43" i="6"/>
  <c r="BI43" i="6" s="1"/>
  <c r="BC75" i="6"/>
  <c r="BJ75" i="6" s="1"/>
  <c r="BE35" i="6"/>
  <c r="BH35" i="6" s="1"/>
  <c r="BB5" i="6"/>
  <c r="BI5" i="6" s="1"/>
  <c r="BJ64" i="6"/>
  <c r="BJ7" i="6"/>
  <c r="BJ21" i="6"/>
  <c r="BI47" i="6"/>
  <c r="BI70" i="6"/>
  <c r="BI48" i="6"/>
  <c r="BC9" i="6"/>
  <c r="BJ9" i="6" s="1"/>
  <c r="BH43" i="6"/>
  <c r="BG44" i="6"/>
  <c r="BC44" i="6"/>
  <c r="BH9" i="6"/>
  <c r="BI31" i="6"/>
  <c r="BH45" i="6"/>
  <c r="BJ55" i="6"/>
  <c r="BH38" i="6"/>
  <c r="BH15" i="6"/>
  <c r="BH40" i="6"/>
  <c r="BJ70" i="6"/>
  <c r="BG60" i="6"/>
  <c r="BC60" i="6"/>
  <c r="BH28" i="6"/>
  <c r="BH73" i="6"/>
  <c r="BG10" i="6"/>
  <c r="BJ10" i="6" s="1"/>
  <c r="BJ35" i="6"/>
  <c r="BC43" i="6"/>
  <c r="BG43" i="6"/>
  <c r="BJ77" i="6"/>
  <c r="BI58" i="6"/>
  <c r="BI55" i="6"/>
  <c r="G11" i="2"/>
  <c r="H11" i="2"/>
  <c r="G8" i="2"/>
  <c r="I8" i="2"/>
  <c r="H8" i="2"/>
  <c r="BJ16" i="6"/>
  <c r="G9" i="2"/>
  <c r="BE47" i="6"/>
  <c r="BA47" i="6"/>
  <c r="BE52" i="6"/>
  <c r="BA52" i="6"/>
  <c r="BG71" i="6"/>
  <c r="BC71" i="6"/>
  <c r="BA48" i="6"/>
  <c r="BE48" i="6"/>
  <c r="I9" i="2"/>
  <c r="BG69" i="6"/>
  <c r="BC69" i="6"/>
  <c r="BF18" i="6"/>
  <c r="BB18" i="6"/>
  <c r="BE10" i="6"/>
  <c r="BA10" i="6"/>
  <c r="BF69" i="6"/>
  <c r="BB69" i="6"/>
  <c r="BI69" i="6" s="1"/>
  <c r="BE53" i="6"/>
  <c r="BA53" i="6"/>
  <c r="BH53" i="6" s="1"/>
  <c r="BA62" i="6"/>
  <c r="BE62" i="6"/>
  <c r="I13" i="2"/>
  <c r="BG74" i="6"/>
  <c r="BC74" i="6"/>
  <c r="BC11" i="6"/>
  <c r="BG11" i="6"/>
  <c r="BF11" i="6"/>
  <c r="BB11" i="6"/>
  <c r="BF38" i="6"/>
  <c r="BB38" i="6"/>
  <c r="BB46" i="6"/>
  <c r="BF46" i="6"/>
  <c r="BF52" i="6"/>
  <c r="BB52" i="6"/>
  <c r="BC5" i="6"/>
  <c r="BG5" i="6"/>
  <c r="BB16" i="6"/>
  <c r="BF16" i="6"/>
  <c r="BA63" i="6"/>
  <c r="BE63" i="6"/>
  <c r="BA46" i="6"/>
  <c r="BE46" i="6"/>
  <c r="BC73" i="6"/>
  <c r="BG73" i="6"/>
  <c r="BA34" i="6"/>
  <c r="BE34" i="6"/>
  <c r="BG76" i="6"/>
  <c r="BC76" i="6"/>
  <c r="BF71" i="6"/>
  <c r="BB71" i="6"/>
  <c r="BE30" i="6"/>
  <c r="BA30" i="6"/>
  <c r="H12" i="2"/>
  <c r="BG63" i="6"/>
  <c r="BC63" i="6"/>
  <c r="BE19" i="6"/>
  <c r="BA19" i="6"/>
  <c r="BE56" i="6"/>
  <c r="BA56" i="6"/>
  <c r="BF51" i="6"/>
  <c r="BB51" i="6"/>
  <c r="BI51" i="6" s="1"/>
  <c r="BE65" i="6"/>
  <c r="BA65" i="6"/>
  <c r="BG61" i="6"/>
  <c r="BC61" i="6"/>
  <c r="BF40" i="6"/>
  <c r="BB40" i="6"/>
  <c r="BC24" i="6"/>
  <c r="BG24" i="6"/>
  <c r="BB73" i="6"/>
  <c r="BF73" i="6"/>
  <c r="BI73" i="6" s="1"/>
  <c r="H10" i="2"/>
  <c r="BG17" i="6"/>
  <c r="BC17" i="6"/>
  <c r="BF10" i="6"/>
  <c r="BB10" i="6"/>
  <c r="BG51" i="6"/>
  <c r="BC51" i="6"/>
  <c r="BE7" i="6"/>
  <c r="BA7" i="6"/>
  <c r="BA50" i="6"/>
  <c r="BE50" i="6"/>
  <c r="BG39" i="6"/>
  <c r="BC39" i="6"/>
  <c r="BF39" i="6"/>
  <c r="BB39" i="6"/>
  <c r="BF29" i="6"/>
  <c r="BB29" i="6"/>
  <c r="G12" i="2"/>
  <c r="BF64" i="6"/>
  <c r="BB64" i="6"/>
  <c r="BG57" i="6"/>
  <c r="BC57" i="6"/>
  <c r="BA49" i="6"/>
  <c r="BE49" i="6"/>
  <c r="BG19" i="6"/>
  <c r="BC19" i="6"/>
  <c r="BC65" i="6"/>
  <c r="BG65" i="6"/>
  <c r="BF23" i="6"/>
  <c r="BB23" i="6"/>
  <c r="BB22" i="6"/>
  <c r="BF22" i="6"/>
  <c r="BE23" i="6"/>
  <c r="BA23" i="6"/>
  <c r="BE12" i="6"/>
  <c r="BA12" i="6"/>
  <c r="BH12" i="6" s="1"/>
  <c r="BB57" i="6"/>
  <c r="BF57" i="6"/>
  <c r="BA69" i="6"/>
  <c r="BE69" i="6"/>
  <c r="BF66" i="6"/>
  <c r="BB66" i="6"/>
  <c r="BE57" i="6"/>
  <c r="BA57" i="6"/>
  <c r="BB74" i="6"/>
  <c r="BF74" i="6"/>
  <c r="BB65" i="6"/>
  <c r="BF65" i="6"/>
  <c r="BG8" i="6"/>
  <c r="BC8" i="6"/>
  <c r="BB62" i="6"/>
  <c r="BF62" i="6"/>
  <c r="BF25" i="6"/>
  <c r="BB25" i="6"/>
  <c r="BI25" i="6" s="1"/>
  <c r="H9" i="2"/>
  <c r="BF28" i="6"/>
  <c r="BB28" i="6"/>
  <c r="BA8" i="6"/>
  <c r="BE8" i="6"/>
  <c r="BE22" i="6"/>
  <c r="BA22" i="6"/>
  <c r="BF34" i="6"/>
  <c r="BB34" i="6"/>
  <c r="BF36" i="6"/>
  <c r="BB36" i="6"/>
  <c r="BF33" i="6"/>
  <c r="BB33" i="6"/>
  <c r="BF75" i="6"/>
  <c r="BB75" i="6"/>
  <c r="BF6" i="6"/>
  <c r="BB6" i="6"/>
  <c r="BG6" i="6"/>
  <c r="BC6" i="6"/>
  <c r="BF12" i="6"/>
  <c r="BB12" i="6"/>
  <c r="BG68" i="6"/>
  <c r="BC68" i="6"/>
  <c r="BE51" i="6"/>
  <c r="BA51" i="6"/>
  <c r="BC28" i="6"/>
  <c r="BG28" i="6"/>
  <c r="BE31" i="6"/>
  <c r="BA31" i="6"/>
  <c r="BE41" i="6"/>
  <c r="BA41" i="6"/>
  <c r="G10" i="2"/>
  <c r="BG56" i="6"/>
  <c r="BC56" i="6"/>
  <c r="BC14" i="6"/>
  <c r="BG14" i="6"/>
  <c r="BE68" i="6"/>
  <c r="BA68" i="6"/>
  <c r="BA64" i="6"/>
  <c r="BE64" i="6"/>
  <c r="BE20" i="6"/>
  <c r="BA20" i="6"/>
  <c r="I10" i="2"/>
  <c r="I11" i="2"/>
  <c r="BB50" i="6"/>
  <c r="BF50" i="6"/>
  <c r="BE60" i="6"/>
  <c r="BA60" i="6"/>
  <c r="BF24" i="6"/>
  <c r="BB24" i="6"/>
  <c r="BF63" i="6"/>
  <c r="BB63" i="6"/>
  <c r="BG52" i="6"/>
  <c r="BC52" i="6"/>
  <c r="BF53" i="6"/>
  <c r="BB53" i="6"/>
  <c r="I12" i="2"/>
  <c r="BG62" i="6"/>
  <c r="BC62" i="6"/>
  <c r="BA25" i="6"/>
  <c r="BE25" i="6"/>
  <c r="H13" i="2"/>
  <c r="BB19" i="6"/>
  <c r="BF19" i="6"/>
  <c r="BA21" i="6"/>
  <c r="BE21" i="6"/>
  <c r="BF61" i="6"/>
  <c r="BB61" i="6"/>
  <c r="BG15" i="6"/>
  <c r="BC15" i="6"/>
  <c r="BF72" i="6"/>
  <c r="BB72" i="6"/>
  <c r="BG66" i="6"/>
  <c r="BC66" i="6"/>
  <c r="BC33" i="6"/>
  <c r="BG33" i="6"/>
  <c r="BE75" i="6"/>
  <c r="BA75" i="6"/>
  <c r="BE32" i="6"/>
  <c r="BA32" i="6"/>
  <c r="BE61" i="6"/>
  <c r="BA61" i="6"/>
  <c r="BE72" i="6"/>
  <c r="BA72" i="6"/>
  <c r="BA16" i="6"/>
  <c r="BE16" i="6"/>
  <c r="BE44" i="6"/>
  <c r="BA44" i="6"/>
  <c r="BI6" i="6" l="1"/>
  <c r="BH30" i="6"/>
  <c r="BJ15" i="6"/>
  <c r="BH44" i="6"/>
  <c r="BI63" i="6"/>
  <c r="BH10" i="6"/>
  <c r="BI23" i="6"/>
  <c r="BH48" i="6"/>
  <c r="BJ51" i="6"/>
  <c r="BH20" i="6"/>
  <c r="BJ52" i="6"/>
  <c r="BJ14" i="6"/>
  <c r="BH52" i="6"/>
  <c r="BH60" i="6"/>
  <c r="BI16" i="6"/>
  <c r="BH68" i="6"/>
  <c r="BJ17" i="6"/>
  <c r="BI75" i="6"/>
  <c r="BH23" i="6"/>
  <c r="BJ24" i="6"/>
  <c r="BI61" i="6"/>
  <c r="BI24" i="6"/>
  <c r="BI39" i="6"/>
  <c r="BI46" i="6"/>
  <c r="BI33" i="6"/>
  <c r="BI40" i="6"/>
  <c r="BJ63" i="6"/>
  <c r="BI66" i="6"/>
  <c r="BH63" i="6"/>
  <c r="BJ71" i="6"/>
  <c r="BJ66" i="6"/>
  <c r="BI12" i="6"/>
  <c r="BI28" i="6"/>
  <c r="BH19" i="6"/>
  <c r="BH47" i="6"/>
  <c r="BJ44" i="6"/>
  <c r="BI11" i="6"/>
  <c r="BJ69" i="6"/>
  <c r="BJ60" i="6"/>
  <c r="BH75" i="6"/>
  <c r="BH51" i="6"/>
  <c r="BH57" i="6"/>
  <c r="BJ19" i="6"/>
  <c r="BJ73" i="6"/>
  <c r="BH25" i="6"/>
  <c r="BI19" i="6"/>
  <c r="BJ39" i="6"/>
  <c r="BJ57" i="6"/>
  <c r="BH56" i="6"/>
  <c r="BH22" i="6"/>
  <c r="BI65" i="6"/>
  <c r="BH32" i="6"/>
  <c r="BJ28" i="6"/>
  <c r="BI34" i="6"/>
  <c r="BJ61" i="6"/>
  <c r="BJ76" i="6"/>
  <c r="BH61" i="6"/>
  <c r="BH31" i="6"/>
  <c r="BI36" i="6"/>
  <c r="BI52" i="6"/>
  <c r="BJ62" i="6"/>
  <c r="BJ68" i="6"/>
  <c r="BH8" i="6"/>
  <c r="C30" i="1" s="1"/>
  <c r="BI38" i="6"/>
  <c r="BI18" i="6"/>
  <c r="BJ56" i="6"/>
  <c r="BI72" i="6"/>
  <c r="BJ6" i="6"/>
  <c r="BJ11" i="6"/>
  <c r="BI29" i="6"/>
  <c r="BI50" i="6"/>
  <c r="BI22" i="6"/>
  <c r="BJ43" i="6"/>
  <c r="E33" i="1"/>
  <c r="BI74" i="6"/>
  <c r="BJ65" i="6"/>
  <c r="BJ33" i="6"/>
  <c r="BH50" i="6"/>
  <c r="BH64" i="6"/>
  <c r="C51" i="1"/>
  <c r="BH72" i="6"/>
  <c r="BI62" i="6"/>
  <c r="BH21" i="6"/>
  <c r="BH62" i="6"/>
  <c r="C33" i="1"/>
  <c r="BH34" i="6"/>
  <c r="BH49" i="6"/>
  <c r="BH69" i="6"/>
  <c r="BH46" i="6"/>
  <c r="BH16" i="6"/>
  <c r="BI57" i="6"/>
  <c r="BI64" i="6"/>
  <c r="BJ74" i="6"/>
  <c r="BI53" i="6"/>
  <c r="BI71" i="6"/>
  <c r="BH65" i="6"/>
  <c r="BI10" i="6"/>
  <c r="BH41" i="6"/>
  <c r="BJ8" i="6"/>
  <c r="D49" i="1"/>
  <c r="D33" i="1"/>
  <c r="E34" i="1"/>
  <c r="BH7" i="6"/>
  <c r="D34" i="1"/>
  <c r="BJ5" i="6"/>
  <c r="C34" i="1"/>
  <c r="E52" i="1" l="1"/>
  <c r="D55" i="1"/>
  <c r="E51" i="1"/>
  <c r="E39" i="1"/>
  <c r="E40" i="1" s="1"/>
  <c r="C54" i="1"/>
  <c r="D52" i="1"/>
  <c r="E54" i="1"/>
  <c r="D54" i="1"/>
  <c r="C53" i="1"/>
  <c r="E44" i="1"/>
  <c r="C45" i="1"/>
  <c r="E56" i="1"/>
  <c r="E55" i="1"/>
  <c r="D56" i="1"/>
  <c r="D45" i="1"/>
  <c r="C46" i="1"/>
  <c r="D51" i="1"/>
  <c r="C56" i="1"/>
  <c r="E45" i="1"/>
  <c r="D39" i="1"/>
  <c r="D40" i="1" s="1"/>
  <c r="D53" i="1"/>
  <c r="E46" i="1"/>
  <c r="D46" i="1"/>
  <c r="C52" i="1"/>
  <c r="D44" i="1"/>
  <c r="E53" i="1"/>
  <c r="C39" i="1"/>
  <c r="C40" i="1" s="1"/>
  <c r="D50" i="1"/>
  <c r="E35" i="1"/>
  <c r="E37" i="1" s="1"/>
  <c r="E50" i="1"/>
  <c r="C50" i="1"/>
  <c r="C55" i="1"/>
  <c r="C44" i="1"/>
  <c r="C35" i="1"/>
  <c r="C37" i="1" s="1"/>
  <c r="D38" i="1"/>
  <c r="D43" i="1"/>
  <c r="D30" i="1"/>
  <c r="E30" i="1"/>
  <c r="E43" i="1"/>
  <c r="E49" i="1"/>
  <c r="E38" i="1"/>
  <c r="D35" i="1"/>
  <c r="D37" i="1" s="1"/>
  <c r="C43" i="1"/>
  <c r="C49" i="1"/>
  <c r="C38" i="1"/>
</calcChain>
</file>

<file path=xl/sharedStrings.xml><?xml version="1.0" encoding="utf-8"?>
<sst xmlns="http://schemas.openxmlformats.org/spreadsheetml/2006/main" count="3580" uniqueCount="1551">
  <si>
    <t>Chronic Care Cascade Pilot — Cost Model Overview</t>
  </si>
  <si>
    <t>Pilot purpose</t>
  </si>
  <si>
    <t>Demonstrate that a trusted intermediary can reuse existing standards-based clinical data and infrastructure to produce a governed diabetes dataset for state public health surveillance and CMS-aligned digital quality measurement, while reducing duplicative reporting and making data quality transparent.</t>
  </si>
  <si>
    <t>What one modeled pilot site includes</t>
  </si>
  <si>
    <t>Key modeling boundaries</t>
  </si>
  <si>
    <t>Primary participant</t>
  </si>
  <si>
    <t>1 state PHA</t>
  </si>
  <si>
    <t>Included</t>
  </si>
  <si>
    <t>Participant labor, vendor fees, ODCs, participant indirects, site evaluation support, 7.5% contingency</t>
  </si>
  <si>
    <t>Provider participants</t>
  </si>
  <si>
    <t>10 FQHCs and 2 other outpatient healthcare organizations</t>
  </si>
  <si>
    <t>Excluded</t>
  </si>
  <si>
    <t>Pre-award charter development, NP/prime administration, independent evaluation, post-pilot operations</t>
  </si>
  <si>
    <t>Technical diversity</t>
  </si>
  <si>
    <t>5 source-system/vendor configurations; 2 shared FQHC configurations</t>
  </si>
  <si>
    <t>Infrastructure posture</t>
  </si>
  <si>
    <t>Existing interfaces, platforms, matching, trust, de-identification, monitoring, and analytics are configured—not rebuilt</t>
  </si>
  <si>
    <t>Intermediary structure</t>
  </si>
  <si>
    <t>One of three models defined on the Scenario Definitions sheet</t>
  </si>
  <si>
    <t>Optional add-ons</t>
  </si>
  <si>
    <t>UDS+ interface; chronic-care referral analysis; new medication-dispensing connection</t>
  </si>
  <si>
    <t>Core outputs</t>
  </si>
  <si>
    <t>PHA diabetes surveillance product and CMS122</t>
  </si>
  <si>
    <t>Primary user</t>
  </si>
  <si>
    <t>State PHA; other federal and quality uses are secondary to the site cost build</t>
  </si>
  <si>
    <t>Operating window</t>
  </si>
  <si>
    <t>12-month funded pilot with 9 months of live exchange (6-month sensitivity)</t>
  </si>
  <si>
    <t>Clinical scope</t>
  </si>
  <si>
    <t>Diabetes, priced as narrow A1c-focused and broad longitudinal cascade variants</t>
  </si>
  <si>
    <t>How to use this workbook</t>
  </si>
  <si>
    <t>Source basis: Chronic Pilot Overview; Draft Chronic Care Cascade Pilot Data Flow Architectures; Tech Brief: PHIG B4 Chronic Care Cascade Pilot; and the approved scope assumptions developed for this cost model.</t>
  </si>
  <si>
    <t>Pro Forma Cost Summary</t>
  </si>
  <si>
    <t>Selected Scenario</t>
  </si>
  <si>
    <t>Estimating Case</t>
  </si>
  <si>
    <t>Low</t>
  </si>
  <si>
    <t>Base</t>
  </si>
  <si>
    <t>High</t>
  </si>
  <si>
    <t>Metric</t>
  </si>
  <si>
    <t>Sponsor-funded cost before contingency</t>
  </si>
  <si>
    <t>Contingency</t>
  </si>
  <si>
    <t>Sponsor-funded cost including contingency</t>
  </si>
  <si>
    <t>Unreimbursed in-kind cost</t>
  </si>
  <si>
    <t>Total economic cost</t>
  </si>
  <si>
    <t>One-time implementation and evaluation</t>
  </si>
  <si>
    <t>Recurring pilot operations</t>
  </si>
  <si>
    <t>Monthly pilot operating run rate</t>
  </si>
  <si>
    <t>Organization Group</t>
  </si>
  <si>
    <t>State PHA</t>
  </si>
  <si>
    <t>HIE/HDU Intermediary</t>
  </si>
  <si>
    <t>HCCN</t>
  </si>
  <si>
    <t>Healthcare Organizations &amp; FQHCs</t>
  </si>
  <si>
    <t>Lifecycle Workstream</t>
  </si>
  <si>
    <t>Implementation management</t>
  </si>
  <si>
    <t>Governance, legal, privacy, and security</t>
  </si>
  <si>
    <t>Data specification and mapping</t>
  </si>
  <si>
    <t>Configuration and integration</t>
  </si>
  <si>
    <t>Testing and remediation</t>
  </si>
  <si>
    <t>Onboarding and training</t>
  </si>
  <si>
    <t>Pilot operations and support</t>
  </si>
  <si>
    <t>Evaluation, playbook, and closeout</t>
  </si>
  <si>
    <t>Estimate maturity: provisional bottom-up model. Labor rates, unit hours, vendor fees, participant indirect rates, and benchmark citations require validation before use as a procurement or funding commitment.</t>
  </si>
  <si>
    <t>Scenario Definitions</t>
  </si>
  <si>
    <t>Scenario convention: the letter identifies dataset scope (A = narrow A1c-focused; B = broad longitudinal cascade). The number identifies the intermediary operating model.</t>
  </si>
  <si>
    <t>Scenario ID</t>
  </si>
  <si>
    <t>Intermediary Model</t>
  </si>
  <si>
    <t>Provider Structure</t>
  </si>
  <si>
    <t>Dataset Scope</t>
  </si>
  <si>
    <t>Operations</t>
  </si>
  <si>
    <t>Key Distinction</t>
  </si>
  <si>
    <t>Low Total</t>
  </si>
  <si>
    <t>Base Total</t>
  </si>
  <si>
    <t>High Total</t>
  </si>
  <si>
    <t>1A</t>
  </si>
  <si>
    <t>HIE/HDU without HCCN</t>
  </si>
  <si>
    <t>10 FQHCs + 2 healthcare organizations connect without HCCN consolidation</t>
  </si>
  <si>
    <t>Narrow A1c-focused</t>
  </si>
  <si>
    <t>9 months</t>
  </si>
  <si>
    <t>Most source connections; no HCCN managed-services layer</t>
  </si>
  <si>
    <t>1B</t>
  </si>
  <si>
    <t>Same as 1A</t>
  </si>
  <si>
    <t>Broad longitudinal diabetes cascade</t>
  </si>
  <si>
    <t>Adds broader data, mapping, analytics, and validation</t>
  </si>
  <si>
    <t>2A</t>
  </si>
  <si>
    <t>HIE/HDU with HCCN</t>
  </si>
  <si>
    <t>HCCN consolidates 10 FQHCs; 2 healthcare organizations connect directly</t>
  </si>
  <si>
    <t>HCCN adds managed services and reduces production interfaces</t>
  </si>
  <si>
    <t>2B</t>
  </si>
  <si>
    <t>Same as 2A</t>
  </si>
  <si>
    <t>Broad scope plus two intermediary/aggregation layers</t>
  </si>
  <si>
    <t>3A</t>
  </si>
  <si>
    <t>HCCN acting as intermediary</t>
  </si>
  <si>
    <t>HCCN ingests 10 FQHCs and 2 healthcare organizations; no HIE/HDU</t>
  </si>
  <si>
    <t>HCCN performs full intermediary, trust, and PHA delivery functions</t>
  </si>
  <si>
    <t>3B</t>
  </si>
  <si>
    <t>Same as 3A</t>
  </si>
  <si>
    <t>Broad scope delivered entirely through HCCN intermediary model</t>
  </si>
  <si>
    <t>Separately priced add-ons and sensitivities</t>
  </si>
  <si>
    <t>These packages are excluded from the base scenario unless their trigger occurs.</t>
  </si>
  <si>
    <t>Add-On ID</t>
  </si>
  <si>
    <t>Item</t>
  </si>
  <si>
    <t>Trigger</t>
  </si>
  <si>
    <t>Applies To</t>
  </si>
  <si>
    <t>Model Treatment</t>
  </si>
  <si>
    <t>Key Cost Driver</t>
  </si>
  <si>
    <t>ADD-01</t>
  </si>
  <si>
    <t>UDS+ interface</t>
  </si>
  <si>
    <t>Charter includes UDS+ and no adequate existing pathway is available</t>
  </si>
  <si>
    <t>Any scenario</t>
  </si>
  <si>
    <t>Optional add-on</t>
  </si>
  <si>
    <t>May require a new interface, mapping, authentication, and HRSA validation</t>
  </si>
  <si>
    <t>ADD-02</t>
  </si>
  <si>
    <t>Closed-loop chronic-care referral analysis</t>
  </si>
  <si>
    <t>Charter includes referral add-on and an existing referral platform/governance model is operational</t>
  </si>
  <si>
    <t>Any scenario with existing referral infrastructure</t>
  </si>
  <si>
    <t>Marginal workflow, data, and evaluation configuration only</t>
  </si>
  <si>
    <t>ADD-03</t>
  </si>
  <si>
    <t>New medication-dispensing connection</t>
  </si>
  <si>
    <t>Broad scope requires dispensing data not already available</t>
  </si>
  <si>
    <t>Broad-scope scenarios if existing data are unavailable</t>
  </si>
  <si>
    <t>New pharmacy/payer interface and data-use work</t>
  </si>
  <si>
    <t>ADD-04</t>
  </si>
  <si>
    <t>Additional non-FQHC healthcare organization</t>
  </si>
  <si>
    <t>Participant count exceeds two</t>
  </si>
  <si>
    <t>Marginal unit</t>
  </si>
  <si>
    <t>Onboarding, legal, validation, training, and support</t>
  </si>
  <si>
    <t>ADD-05</t>
  </si>
  <si>
    <t>Additional FQHC</t>
  </si>
  <si>
    <t>FQHC count exceeds ten</t>
  </si>
  <si>
    <t>ADD-06</t>
  </si>
  <si>
    <t>Additional source-system configuration</t>
  </si>
  <si>
    <t>More than five distinct configurations or a materially different tenant pattern</t>
  </si>
  <si>
    <t>Mapping, interface configuration, testing, and remediation</t>
  </si>
  <si>
    <t>ADD-07</t>
  </si>
  <si>
    <t>Additional production interface</t>
  </si>
  <si>
    <t>Interface topology exceeds scenario base</t>
  </si>
  <si>
    <t>ADD-08</t>
  </si>
  <si>
    <t>Additional remediation cycle</t>
  </si>
  <si>
    <t>Two base remediation cycles are insufficient</t>
  </si>
  <si>
    <t>Vendor, provider, intermediary, and project-management effort</t>
  </si>
  <si>
    <t>ADD-09</t>
  </si>
  <si>
    <t>Six-month operations sensitivity</t>
  </si>
  <si>
    <t>Schedule permits only six live months or sponsor chooses shorter evidence period</t>
  </si>
  <si>
    <t>Schedule sensitivity</t>
  </si>
  <si>
    <t>Reduces recurring support and evaluation evidence period</t>
  </si>
  <si>
    <t>ADD-10</t>
  </si>
  <si>
    <t>Formal security authorization or penetration testing</t>
  </si>
  <si>
    <t>PHA/intermediary requires ATO-equivalent approval, independent assessment, or new control documentation</t>
  </si>
  <si>
    <t>ADD-11</t>
  </si>
  <si>
    <t>New environment or software license</t>
  </si>
  <si>
    <t>Existing environment capacity or licenses are insufficient</t>
  </si>
  <si>
    <t>ADD-12</t>
  </si>
  <si>
    <t>High-intensity technical assistance</t>
  </si>
  <si>
    <t>Readiness validation identifies material participant capability gaps</t>
  </si>
  <si>
    <t>Description</t>
  </si>
  <si>
    <t>Dependencies</t>
  </si>
  <si>
    <t>Scenario Applicability</t>
  </si>
  <si>
    <t>1A, 1B, 2A, 2B, 3A, 3B</t>
  </si>
  <si>
    <t>All funded participants</t>
  </si>
  <si>
    <t>PHA</t>
  </si>
  <si>
    <t>Primary DUAs/DSAs</t>
  </si>
  <si>
    <t>2A, 2B, 3A, 3B</t>
  </si>
  <si>
    <t>Intermediary</t>
  </si>
  <si>
    <t>2A, 2B</t>
  </si>
  <si>
    <t>PHA privacy and analytics teams</t>
  </si>
  <si>
    <t>PHA analytics team</t>
  </si>
  <si>
    <t>Baseline data-quality assessment</t>
  </si>
  <si>
    <t>WBS ID</t>
  </si>
  <si>
    <t>Notes</t>
  </si>
  <si>
    <t>WBS-01.01</t>
  </si>
  <si>
    <t>WBS-01.02</t>
  </si>
  <si>
    <t>WBS-01.03</t>
  </si>
  <si>
    <t>None material</t>
  </si>
  <si>
    <t>WBS-01.04</t>
  </si>
  <si>
    <t>WBS-01.05</t>
  </si>
  <si>
    <t>Per test cycle</t>
  </si>
  <si>
    <t>WBS-01.06</t>
  </si>
  <si>
    <t>Per cohort</t>
  </si>
  <si>
    <t>WBS-01.07</t>
  </si>
  <si>
    <t>WBS-01.08</t>
  </si>
  <si>
    <t>WBS-02.01</t>
  </si>
  <si>
    <t>1A, 1B, 2A, 2B</t>
  </si>
  <si>
    <t>WBS-02.02</t>
  </si>
  <si>
    <t>WBS-02.03</t>
  </si>
  <si>
    <t>WBS-02.04</t>
  </si>
  <si>
    <t>WBS-02.05</t>
  </si>
  <si>
    <t>WBS-02.06</t>
  </si>
  <si>
    <t>WBS-02.07</t>
  </si>
  <si>
    <t>WBS-02.08</t>
  </si>
  <si>
    <t>Travel</t>
  </si>
  <si>
    <t>WBS-03.01</t>
  </si>
  <si>
    <t>WBS-03.02</t>
  </si>
  <si>
    <t>WBS-03.03</t>
  </si>
  <si>
    <t>WBS-03.04</t>
  </si>
  <si>
    <t>WBS-03.05</t>
  </si>
  <si>
    <t>WBS-03.06</t>
  </si>
  <si>
    <t>WBS-03.07</t>
  </si>
  <si>
    <t>WBS-03.08</t>
  </si>
  <si>
    <t>WBS-04.01</t>
  </si>
  <si>
    <t>WBS-04.02</t>
  </si>
  <si>
    <t>WBS-04.03</t>
  </si>
  <si>
    <t>WBS-04.04</t>
  </si>
  <si>
    <t>WBS-04.05</t>
  </si>
  <si>
    <t>Vendor remediation fees</t>
  </si>
  <si>
    <t>WBS-04.06</t>
  </si>
  <si>
    <t>WBS-04.07</t>
  </si>
  <si>
    <t>Recurring vendor/interface fees</t>
  </si>
  <si>
    <t>WBS-04.08</t>
  </si>
  <si>
    <t>Input</t>
  </si>
  <si>
    <t>Funded pilot sites</t>
  </si>
  <si>
    <t>Yes</t>
  </si>
  <si>
    <t>sites</t>
  </si>
  <si>
    <t>FQHCs</t>
  </si>
  <si>
    <t>organizations</t>
  </si>
  <si>
    <t>Other healthcare organizations</t>
  </si>
  <si>
    <t>Source configurations</t>
  </si>
  <si>
    <t>Production interfaces — with HCCN</t>
  </si>
  <si>
    <t>interfaces</t>
  </si>
  <si>
    <t>Production interfaces — without HCCN</t>
  </si>
  <si>
    <t>Diabetes population</t>
  </si>
  <si>
    <t>unique patients</t>
  </si>
  <si>
    <t>Daily incremental records</t>
  </si>
  <si>
    <t>records/day</t>
  </si>
  <si>
    <t>months</t>
  </si>
  <si>
    <t>Remediation cycles</t>
  </si>
  <si>
    <t>cohorts</t>
  </si>
  <si>
    <t>In-person events</t>
  </si>
  <si>
    <t>Shared tools/templates provided</t>
  </si>
  <si>
    <t>percent</t>
  </si>
  <si>
    <t>Core modeling assumptions</t>
  </si>
  <si>
    <t>Highest-impact unresolved or variable items</t>
  </si>
  <si>
    <t>Assumption</t>
  </si>
  <si>
    <t>Status</t>
  </si>
  <si>
    <t>Cost Effect</t>
  </si>
  <si>
    <t>Treatment</t>
  </si>
  <si>
    <t>Provisional Assumption</t>
  </si>
  <si>
    <t>Risk if Different</t>
  </si>
  <si>
    <t>Model Handling</t>
  </si>
  <si>
    <t>Pre-award charter is complete and not funded</t>
  </si>
  <si>
    <t>Fixed</t>
  </si>
  <si>
    <t>Reduces funded planning scope</t>
  </si>
  <si>
    <t>Exclusion</t>
  </si>
  <si>
    <t>Formal security authorization</t>
  </si>
  <si>
    <t>No new ATO or penetration test</t>
  </si>
  <si>
    <t>Material documentation, testing, and schedule increase</t>
  </si>
  <si>
    <t>Contingency / optional sensitivity</t>
  </si>
  <si>
    <t>Implementation plan is funded and derived from the charter</t>
  </si>
  <si>
    <t>Adds Month 1 implementation-management effort</t>
  </si>
  <si>
    <t>Trust acceptance thresholds</t>
  </si>
  <si>
    <t>Feasibility-oriented; critical errors resolved, known completeness gaps documented</t>
  </si>
  <si>
    <t>Stricter thresholds add remediation cycles</t>
  </si>
  <si>
    <t>Editable assumption</t>
  </si>
  <si>
    <t>Existing FHIR and HL7 v2 endpoints are functioning</t>
  </si>
  <si>
    <t>Moderate confidence</t>
  </si>
  <si>
    <t>Avoids greenfield source-interface builds</t>
  </si>
  <si>
    <t>Base assumption + contingency risk</t>
  </si>
  <si>
    <t>Existing environment availability</t>
  </si>
  <si>
    <t>Existing test/UAT/production capacity is sufficient</t>
  </si>
  <si>
    <t>New environments add cloud, deployment, and security costs</t>
  </si>
  <si>
    <t>Contingency risk</t>
  </si>
  <si>
    <t>Architecture and interface documents need minor updates only</t>
  </si>
  <si>
    <t>High confidence</t>
  </si>
  <si>
    <t>Limits architecture/design labor</t>
  </si>
  <si>
    <t>Fixed assumption</t>
  </si>
  <si>
    <t>HCCN ability to serve non-FQHC providers</t>
  </si>
  <si>
    <t>Legally and technically feasible in Scenario 3</t>
  </si>
  <si>
    <t>Scenario 3 may need another intermediary or reduced scope</t>
  </si>
  <si>
    <t>Scenario risk</t>
  </si>
  <si>
    <t>Normalization, matching, deduplication, cohort, de-identification, aggregation, trust, monitoring, and analytics capabilities already exist</t>
  </si>
  <si>
    <t>Primary cost-reduction assumption</t>
  </si>
  <si>
    <t>Broad care-cascade data completeness</t>
  </si>
  <si>
    <t>Enough existing data to test feasibility</t>
  </si>
  <si>
    <t>May require added sources or produce limited findings</t>
  </si>
  <si>
    <t>Contingency risk / limitation</t>
  </si>
  <si>
    <t>Existing PHA analytics tool is configured; no new dashboard platform</t>
  </si>
  <si>
    <t>Avoids platform procurement and development</t>
  </si>
  <si>
    <t>Participant indirect rates</t>
  </si>
  <si>
    <t>Organization-specific actual rates</t>
  </si>
  <si>
    <t>Large effect on topline cost</t>
  </si>
  <si>
    <t>Editable participant inputs in cost build-up</t>
  </si>
  <si>
    <t>PHA receives aggregate and de-identified line-level data</t>
  </si>
  <si>
    <t>Requires two configured output forms</t>
  </si>
  <si>
    <t>Intermediary executes CMS122; PHA validates results</t>
  </si>
  <si>
    <t>Provisional</t>
  </si>
  <si>
    <t>Avoids duplicate measure-engine implementation</t>
  </si>
  <si>
    <t>MedicationRequest is required; MedicationDispense only if already available</t>
  </si>
  <si>
    <t>Avoids new pharmacy/payer connection in base</t>
  </si>
  <si>
    <t>Base scope / add-on if needed</t>
  </si>
  <si>
    <t>Two remediation cycles are sufficient</t>
  </si>
  <si>
    <t>Caps vendor and participant rework</t>
  </si>
  <si>
    <t>Base input + per-cycle sensitivity</t>
  </si>
  <si>
    <t>Participant direct costs and indirect costs are fully reimbursed</t>
  </si>
  <si>
    <t>Increases total to full participant economic cost</t>
  </si>
  <si>
    <t>NP/prime administration and post-pilot operations are excluded</t>
  </si>
  <si>
    <t>Keeps estimate site-focused and time-limited</t>
  </si>
  <si>
    <t>Cost Model Inputs</t>
  </si>
  <si>
    <t>Blue font / yellow fill = editable provisional input</t>
  </si>
  <si>
    <t>Input ID</t>
  </si>
  <si>
    <t>Unit</t>
  </si>
  <si>
    <t>Cost Model Use</t>
  </si>
  <si>
    <t>IN-01</t>
  </si>
  <si>
    <t>Direct formula input</t>
  </si>
  <si>
    <t>IN-02</t>
  </si>
  <si>
    <t>IN-03</t>
  </si>
  <si>
    <t>IN-04</t>
  </si>
  <si>
    <t>All provider organizations</t>
  </si>
  <si>
    <t>Derived total; direct formula input</t>
  </si>
  <si>
    <t>IN-05</t>
  </si>
  <si>
    <t>configurations</t>
  </si>
  <si>
    <t>IN-06</t>
  </si>
  <si>
    <t>Shared FQHC configurations</t>
  </si>
  <si>
    <t>IN-07</t>
  </si>
  <si>
    <t>Production interfaces used by selected scenario</t>
  </si>
  <si>
    <t>Scenario lookup used by HIE/HDU interface-related WBS rows</t>
  </si>
  <si>
    <t>IN-08</t>
  </si>
  <si>
    <t>HCCN consolidated export</t>
  </si>
  <si>
    <t>interface</t>
  </si>
  <si>
    <t>IN-09</t>
  </si>
  <si>
    <t>PHA receiving interface</t>
  </si>
  <si>
    <t>IN-10</t>
  </si>
  <si>
    <t>agreements</t>
  </si>
  <si>
    <t>IN-11</t>
  </si>
  <si>
    <t>HCCN agreement plus member amendments</t>
  </si>
  <si>
    <t>legal instruments</t>
  </si>
  <si>
    <t>IN-12</t>
  </si>
  <si>
    <t>Line-level and aggregate outputs</t>
  </si>
  <si>
    <t>output types</t>
  </si>
  <si>
    <t>IN-13</t>
  </si>
  <si>
    <t>PHA surveillance outputs</t>
  </si>
  <si>
    <t>outputs</t>
  </si>
  <si>
    <t>IN-14</t>
  </si>
  <si>
    <t>CMS122 measures</t>
  </si>
  <si>
    <t>measures</t>
  </si>
  <si>
    <t>IN-15</t>
  </si>
  <si>
    <t>Selected clinical scope</t>
  </si>
  <si>
    <t>scope</t>
  </si>
  <si>
    <t>IN-16</t>
  </si>
  <si>
    <t>Broad-scope increment trigger</t>
  </si>
  <si>
    <t>binary trigger</t>
  </si>
  <si>
    <t>Scenario applicability trigger</t>
  </si>
  <si>
    <t>IN-17</t>
  </si>
  <si>
    <t>Funded pilot duration</t>
  </si>
  <si>
    <t>IN-18</t>
  </si>
  <si>
    <t>Live exchange period</t>
  </si>
  <si>
    <t>IN-19</t>
  </si>
  <si>
    <t>Operational/status reporting cycles</t>
  </si>
  <si>
    <t>cycles</t>
  </si>
  <si>
    <t>IN-20</t>
  </si>
  <si>
    <t>Governance meeting cycles</t>
  </si>
  <si>
    <t>IN-21</t>
  </si>
  <si>
    <t>Evaluation cycles</t>
  </si>
  <si>
    <t>IN-22</t>
  </si>
  <si>
    <t>Integrated test/UAT cycles</t>
  </si>
  <si>
    <t>IN-23</t>
  </si>
  <si>
    <t>IN-24</t>
  </si>
  <si>
    <t>Source configuration remediation units</t>
  </si>
  <si>
    <t>configuration-cycles</t>
  </si>
  <si>
    <t>Derived scaling input</t>
  </si>
  <si>
    <t>IN-25</t>
  </si>
  <si>
    <t>FQHC configuration remediation units</t>
  </si>
  <si>
    <t>IN-26</t>
  </si>
  <si>
    <t>Provider/source remediation units</t>
  </si>
  <si>
    <t>IN-27</t>
  </si>
  <si>
    <t>Site training cohorts</t>
  </si>
  <si>
    <t>IN-28</t>
  </si>
  <si>
    <t>HCCN/FQHC training cohorts</t>
  </si>
  <si>
    <t>IN-29</t>
  </si>
  <si>
    <t>Support tickets</t>
  </si>
  <si>
    <t>tickets</t>
  </si>
  <si>
    <t>IN-30</t>
  </si>
  <si>
    <t>Provider-month support units</t>
  </si>
  <si>
    <t>organization-months</t>
  </si>
  <si>
    <t>IN-31</t>
  </si>
  <si>
    <t>Provider evaluation units</t>
  </si>
  <si>
    <t>organization-cycles</t>
  </si>
  <si>
    <t>IN-32</t>
  </si>
  <si>
    <t>PHA receiving systems</t>
  </si>
  <si>
    <t>systems</t>
  </si>
  <si>
    <t>IN-33</t>
  </si>
  <si>
    <t>events</t>
  </si>
  <si>
    <t>IN-34</t>
  </si>
  <si>
    <t>Contingency percentage</t>
  </si>
  <si>
    <t>IN-35</t>
  </si>
  <si>
    <t>Scenario-specific source for IN-07</t>
  </si>
  <si>
    <t>IN-36</t>
  </si>
  <si>
    <t>IN-37</t>
  </si>
  <si>
    <t>Capacity/evaluation input; no direct base-cost effect</t>
  </si>
  <si>
    <t>IN-38</t>
  </si>
  <si>
    <t>Capacity/cloud sensitivity; no direct base-cost effect</t>
  </si>
  <si>
    <t>IN-39</t>
  </si>
  <si>
    <t>Contextual assumption already reflected in provisional unit hours</t>
  </si>
  <si>
    <t>Provisional Fully Loaded Labor Rates — Replace with Actual Rates or Validated Benchmarks</t>
  </si>
  <si>
    <t>Rate ID</t>
  </si>
  <si>
    <t>Rate Tier</t>
  </si>
  <si>
    <t>Rate Basis</t>
  </si>
  <si>
    <t>Direct Rate</t>
  </si>
  <si>
    <t>Fringe</t>
  </si>
  <si>
    <t>Overhead/G&amp;A</t>
  </si>
  <si>
    <t>Fee</t>
  </si>
  <si>
    <t>Fully Loaded Rate</t>
  </si>
  <si>
    <t>Dollar Year</t>
  </si>
  <si>
    <t>Confidence</t>
  </si>
  <si>
    <t>RT-01</t>
  </si>
  <si>
    <t>Executive</t>
  </si>
  <si>
    <t>Provisional fully loaded participant cost</t>
  </si>
  <si>
    <t>RT-02</t>
  </si>
  <si>
    <t>PM</t>
  </si>
  <si>
    <t>RT-03</t>
  </si>
  <si>
    <t>SME</t>
  </si>
  <si>
    <t>RT-04</t>
  </si>
  <si>
    <t>Technical</t>
  </si>
  <si>
    <t>RT-05</t>
  </si>
  <si>
    <t>Analyst</t>
  </si>
  <si>
    <t>RT-06</t>
  </si>
  <si>
    <t>Legal/Security</t>
  </si>
  <si>
    <t>RT-07</t>
  </si>
  <si>
    <t>RT-08</t>
  </si>
  <si>
    <t>RT-09</t>
  </si>
  <si>
    <t>RT-10</t>
  </si>
  <si>
    <t>RT-11</t>
  </si>
  <si>
    <t>RT-12</t>
  </si>
  <si>
    <t>RT-13</t>
  </si>
  <si>
    <t>RT-14</t>
  </si>
  <si>
    <t>RT-15</t>
  </si>
  <si>
    <t>RT-16</t>
  </si>
  <si>
    <t>RT-17</t>
  </si>
  <si>
    <t>RT-18</t>
  </si>
  <si>
    <t>RT-19</t>
  </si>
  <si>
    <t>RT-20</t>
  </si>
  <si>
    <t>RT-21</t>
  </si>
  <si>
    <t>RT-22</t>
  </si>
  <si>
    <t>RT-23</t>
  </si>
  <si>
    <t>RT-24</t>
  </si>
  <si>
    <t>RT-25</t>
  </si>
  <si>
    <t>RT-26</t>
  </si>
  <si>
    <t>RT-27</t>
  </si>
  <si>
    <t>RT-28</t>
  </si>
  <si>
    <t>Indirect Rate</t>
  </si>
  <si>
    <t>Basis</t>
  </si>
  <si>
    <t>Applied to direct labor only</t>
  </si>
  <si>
    <t>Provisional; replace with approved rate</t>
  </si>
  <si>
    <t>Stage 3 Costable Activity Register</t>
  </si>
  <si>
    <t>This sheet decomposes the controlling Work Breakdown into activities with distinct cost ownership, scaling logic, scenario applicability, labor mix, non-labor inputs, estimating method, assumptions, and risks.</t>
  </si>
  <si>
    <t>Parent WBS ID</t>
  </si>
  <si>
    <t>Work Package</t>
  </si>
  <si>
    <t>Costable Activity</t>
  </si>
  <si>
    <t>Output or Completion Condition</t>
  </si>
  <si>
    <t>Accountable Organization</t>
  </si>
  <si>
    <t>Performing Party</t>
  </si>
  <si>
    <t>Supporting Parties</t>
  </si>
  <si>
    <t>Cost-Bearing Party</t>
  </si>
  <si>
    <t>Funded or In Kind</t>
  </si>
  <si>
    <t>Cost Model Treatment</t>
  </si>
  <si>
    <t>Scaling Classification</t>
  </si>
  <si>
    <t>Scaling Unit</t>
  </si>
  <si>
    <t>Quantity Input ID</t>
  </si>
  <si>
    <t>Formula Type</t>
  </si>
  <si>
    <t>Lead Labor Category</t>
  </si>
  <si>
    <t>Supporting Labor Categories</t>
  </si>
  <si>
    <t>Participant Labor</t>
  </si>
  <si>
    <t>Vendor Labor</t>
  </si>
  <si>
    <t>Reviewer or Approver</t>
  </si>
  <si>
    <t>Non-Labor Inputs</t>
  </si>
  <si>
    <t>Estimating Method</t>
  </si>
  <si>
    <t>Benchmark ID</t>
  </si>
  <si>
    <t>Complexity Level</t>
  </si>
  <si>
    <t>Assumption IDs</t>
  </si>
  <si>
    <t>Risk IDs</t>
  </si>
  <si>
    <t>Include in Selected Scenario</t>
  </si>
  <si>
    <t>Low Quantity</t>
  </si>
  <si>
    <t>Base Quantity</t>
  </si>
  <si>
    <t>High Quantity</t>
  </si>
  <si>
    <t>Low Fixed Hours</t>
  </si>
  <si>
    <t>Base Fixed Hours</t>
  </si>
  <si>
    <t>High Fixed Hours</t>
  </si>
  <si>
    <t>Low Hours per Unit</t>
  </si>
  <si>
    <t>Base Hours per Unit</t>
  </si>
  <si>
    <t>High Hours per Unit</t>
  </si>
  <si>
    <t>Low Total Hours</t>
  </si>
  <si>
    <t>Base Total Hours</t>
  </si>
  <si>
    <t>High Total Hours</t>
  </si>
  <si>
    <t>Loaded Rate</t>
  </si>
  <si>
    <t>Low Labor Cost</t>
  </si>
  <si>
    <t>Base Labor Cost</t>
  </si>
  <si>
    <t>High Labor Cost</t>
  </si>
  <si>
    <t>Low Non-Labor Cost</t>
  </si>
  <si>
    <t>Base Non-Labor Cost</t>
  </si>
  <si>
    <t>High Non-Labor Cost</t>
  </si>
  <si>
    <t>Low Indirect Cost</t>
  </si>
  <si>
    <t>Base Indirect Cost</t>
  </si>
  <si>
    <t>High Indirect Cost</t>
  </si>
  <si>
    <t>Contingency Eligible</t>
  </si>
  <si>
    <t>Low Contingency</t>
  </si>
  <si>
    <t>Base Contingency</t>
  </si>
  <si>
    <t>High Contingency</t>
  </si>
  <si>
    <t>Low Total Cost</t>
  </si>
  <si>
    <t>Base Total Cost</t>
  </si>
  <si>
    <t>High Total Cost</t>
  </si>
  <si>
    <t>BOE Status</t>
  </si>
  <si>
    <t>Validation Status</t>
  </si>
  <si>
    <t>Source ID</t>
  </si>
  <si>
    <t>Adjustment / Notes</t>
  </si>
  <si>
    <t>Include 1A</t>
  </si>
  <si>
    <t>Include 1B</t>
  </si>
  <si>
    <t>Include 2A</t>
  </si>
  <si>
    <t>Include 2B</t>
  </si>
  <si>
    <t>Include 3A</t>
  </si>
  <si>
    <t>Include 3B</t>
  </si>
  <si>
    <t>1A Low Total</t>
  </si>
  <si>
    <t>1A Base Total</t>
  </si>
  <si>
    <t>1A High Total</t>
  </si>
  <si>
    <t>1B Low Total</t>
  </si>
  <si>
    <t>1B Base Total</t>
  </si>
  <si>
    <t>1B High Total</t>
  </si>
  <si>
    <t>2A Low Total</t>
  </si>
  <si>
    <t>2A Base Total</t>
  </si>
  <si>
    <t>2A High Total</t>
  </si>
  <si>
    <t>2B Low Total</t>
  </si>
  <si>
    <t>2B Base Total</t>
  </si>
  <si>
    <t>2B High Total</t>
  </si>
  <si>
    <t>3A Low Total</t>
  </si>
  <si>
    <t>3A Base Total</t>
  </si>
  <si>
    <t>3A High Total</t>
  </si>
  <si>
    <t>3B Low Total</t>
  </si>
  <si>
    <t>3B Base Total</t>
  </si>
  <si>
    <t>3B High Total</t>
  </si>
  <si>
    <t>WBS-01.01.01</t>
  </si>
  <si>
    <t>Implementation planning</t>
  </si>
  <si>
    <t>Develop funded implementation plan</t>
  </si>
  <si>
    <t>Translate the approved pre-award charter into workstreams, activities, owners, milestones, dependencies, and acceptance gates.</t>
  </si>
  <si>
    <t>Approved implementation plan with traceability to charter decisions</t>
  </si>
  <si>
    <t>PHA project team</t>
  </si>
  <si>
    <t>Intermediary; HCCN; providers</t>
  </si>
  <si>
    <t>Funded</t>
  </si>
  <si>
    <t>Base common</t>
  </si>
  <si>
    <t>Fixed per site</t>
  </si>
  <si>
    <t>pilot site</t>
  </si>
  <si>
    <t>Fixed hours</t>
  </si>
  <si>
    <t>Project manager</t>
  </si>
  <si>
    <t>Program director; business analyst; project coordinator</t>
  </si>
  <si>
    <t>PHA staff</t>
  </si>
  <si>
    <t>None</t>
  </si>
  <si>
    <t>Pilot governance body</t>
  </si>
  <si>
    <t>Travel only if workshop is in person</t>
  </si>
  <si>
    <t>Bottom-up labor estimate</t>
  </si>
  <si>
    <t>BM-01</t>
  </si>
  <si>
    <t>Moderate</t>
  </si>
  <si>
    <t>A01; A12; A13</t>
  </si>
  <si>
    <t>RD-13</t>
  </si>
  <si>
    <t>Provisional — expert judgment</t>
  </si>
  <si>
    <t>Pending participant validation</t>
  </si>
  <si>
    <t>Provisional Stage 4 assumption; replace with actual rate, quote, or validated benchmark where available.</t>
  </si>
  <si>
    <t>WBS-01.01.02</t>
  </si>
  <si>
    <t>Maintain schedule, risks, decisions, and status reporting</t>
  </si>
  <si>
    <t>Operate the project-control cadence throughout implementation and pilot operations.</t>
  </si>
  <si>
    <t>Current schedule, RAID log, decision log, and monthly status reports</t>
  </si>
  <si>
    <t>Intermediary; HCCN</t>
  </si>
  <si>
    <t>Recurring</t>
  </si>
  <si>
    <t>project month</t>
  </si>
  <si>
    <t>Monthly hours × operating months</t>
  </si>
  <si>
    <t>Project coordinator; program director</t>
  </si>
  <si>
    <t>Meeting and travel ODCs</t>
  </si>
  <si>
    <t>A64; A69</t>
  </si>
  <si>
    <t>WBS-01.02.01</t>
  </si>
  <si>
    <t>Stakeholder coordination</t>
  </si>
  <si>
    <t>Facilitate governance and cross-participant decision meetings</t>
  </si>
  <si>
    <t>Prepare, conduct, and document site-level governance and implementation sessions.</t>
  </si>
  <si>
    <t>Meeting materials, decisions, action items, and escalations</t>
  </si>
  <si>
    <t>meeting cycle</t>
  </si>
  <si>
    <t>Reporting cycles × hours per report</t>
  </si>
  <si>
    <t>Program director; project coordinator</t>
  </si>
  <si>
    <t>PHA and participant staff</t>
  </si>
  <si>
    <t>Executive sponsor</t>
  </si>
  <si>
    <t>Meeting and travel expenses</t>
  </si>
  <si>
    <t>A61; A67</t>
  </si>
  <si>
    <t>RD-21</t>
  </si>
  <si>
    <t>WBS-01.03.01</t>
  </si>
  <si>
    <t>Governance activation</t>
  </si>
  <si>
    <t>Operationalize governance and decision rights</t>
  </si>
  <si>
    <t>Activate decision, escalation, change-control, access-approval, and issue-resolution processes already defined in the charter.</t>
  </si>
  <si>
    <t>Operating governance calendar and decision-rights matrix</t>
  </si>
  <si>
    <t>PHA governance lead</t>
  </si>
  <si>
    <t>Governance specialist</t>
  </si>
  <si>
    <t>Project manager; legal counsel; privacy officer</t>
  </si>
  <si>
    <t>BM-02</t>
  </si>
  <si>
    <t>A67</t>
  </si>
  <si>
    <t>RD-24</t>
  </si>
  <si>
    <t>WBS-01.04.01</t>
  </si>
  <si>
    <t>Agreement execution</t>
  </si>
  <si>
    <t>Coordinate and review primary DUAs/DSAs</t>
  </si>
  <si>
    <t>Complete site-side review and execution of the HCCN/FQHC agreement and two non-FQHC provider agreements.</t>
  </si>
  <si>
    <t>Executed primary data-use or data-sharing agreements</t>
  </si>
  <si>
    <t>PHA legal/privacy team</t>
  </si>
  <si>
    <t>Intermediary; HCCN; provider counsel</t>
  </si>
  <si>
    <t>Variable</t>
  </si>
  <si>
    <t>primary agreement</t>
  </si>
  <si>
    <t>Agreements × hours per agreement</t>
  </si>
  <si>
    <t>Legal counsel</t>
  </si>
  <si>
    <t>Privacy specialist; project manager</t>
  </si>
  <si>
    <t>External counsel if used</t>
  </si>
  <si>
    <t>Authorized signatory</t>
  </si>
  <si>
    <t>External legal services if required</t>
  </si>
  <si>
    <t>Bottom-up labor estimate / vendor quote</t>
  </si>
  <si>
    <t>BM-03</t>
  </si>
  <si>
    <t>A51; A52</t>
  </si>
  <si>
    <t>RD-10</t>
  </si>
  <si>
    <t>WBS-01.05.01</t>
  </si>
  <si>
    <t>Privacy and de-identification approval</t>
  </si>
  <si>
    <t>Approve de-identified line-level and aggregate output design</t>
  </si>
  <si>
    <t>Review fields, transformations, minimum-necessary use, access, retention implementation, and disclosure controls.</t>
  </si>
  <si>
    <t>Documented privacy determination and approved output specification</t>
  </si>
  <si>
    <t>PHA privacy team</t>
  </si>
  <si>
    <t>Intermediary; legal counsel; analytics team</t>
  </si>
  <si>
    <t>Fixed per output</t>
  </si>
  <si>
    <t>output type</t>
  </si>
  <si>
    <t>Quantity × hours per unit</t>
  </si>
  <si>
    <t>Privacy specialist</t>
  </si>
  <si>
    <t>Legal counsel; public health informatics lead</t>
  </si>
  <si>
    <t>PHA privacy officer</t>
  </si>
  <si>
    <t>A22; A57; A66</t>
  </si>
  <si>
    <t>RD-25</t>
  </si>
  <si>
    <t>WBS-01.06.01</t>
  </si>
  <si>
    <t>Security review</t>
  </si>
  <si>
    <t>Approve PHA receiving connection and access controls</t>
  </si>
  <si>
    <t>Review secure transport, IAM, logging, incident escalation, and use of existing PHA environments.</t>
  </si>
  <si>
    <t>Connection/security approval and access-control matrix</t>
  </si>
  <si>
    <t>PHA security team</t>
  </si>
  <si>
    <t>Intermediary; PHA platform team</t>
  </si>
  <si>
    <t>Step-fixed</t>
  </si>
  <si>
    <t>receiving system</t>
  </si>
  <si>
    <t>Security engineer</t>
  </si>
  <si>
    <t>IAM specialist; privacy specialist; compliance specialist</t>
  </si>
  <si>
    <t>Security vendor if required</t>
  </si>
  <si>
    <t>PHA security authority</t>
  </si>
  <si>
    <t>Incremental security tooling only if required</t>
  </si>
  <si>
    <t>BM-04</t>
  </si>
  <si>
    <t>A49; A50; A59</t>
  </si>
  <si>
    <t>RD-09</t>
  </si>
  <si>
    <t>WBS-01.07.01</t>
  </si>
  <si>
    <t>Surveillance requirements</t>
  </si>
  <si>
    <t>Confirm surveillance indicators and acceptance requirements</t>
  </si>
  <si>
    <t>Translate charter-defined questions into field, stratification, timeliness, quality, and usability requirements.</t>
  </si>
  <si>
    <t>Approved PHA surveillance requirements and acceptance criteria</t>
  </si>
  <si>
    <t>PHA public health team</t>
  </si>
  <si>
    <t>Intermediary; clinical SMEs</t>
  </si>
  <si>
    <t>PHA surveillance output</t>
  </si>
  <si>
    <t>Public health informatics lead</t>
  </si>
  <si>
    <t>Epidemiologist; diabetes SME; business analyst</t>
  </si>
  <si>
    <t>PHA program lead</t>
  </si>
  <si>
    <t>BM-05</t>
  </si>
  <si>
    <t>A17; A23</t>
  </si>
  <si>
    <t>RD-26</t>
  </si>
  <si>
    <t>WBS-01.08.01</t>
  </si>
  <si>
    <t>Clinical and analytic review</t>
  </si>
  <si>
    <t>Review minimum dataset, mappings, and value-set deltas</t>
  </si>
  <si>
    <t>Validate that the proposed diabetes elements and mappings support public health interpretation and approved stratifications.</t>
  </si>
  <si>
    <t>PHA review comments and approval of pilot-specific data specification</t>
  </si>
  <si>
    <t>Intermediary; providers; measure SME</t>
  </si>
  <si>
    <t>Fixed per use case</t>
  </si>
  <si>
    <t>clinical scope</t>
  </si>
  <si>
    <t>Epidemiologist</t>
  </si>
  <si>
    <t>Diabetes SME; public health informatics lead</t>
  </si>
  <si>
    <t>A14; A15; A17</t>
  </si>
  <si>
    <t>RD-27</t>
  </si>
  <si>
    <t>WBS-01.08.02</t>
  </si>
  <si>
    <t>Broad cascade incremental review</t>
  </si>
  <si>
    <t>Validate medication, follow-up, and utilization elements</t>
  </si>
  <si>
    <t>Perform incremental review required only for the broad longitudinal diabetes cascade.</t>
  </si>
  <si>
    <t>Approved broad-cascade requirements and limitations</t>
  </si>
  <si>
    <t>PHA public health and clinical team</t>
  </si>
  <si>
    <t>Intermediary; providers</t>
  </si>
  <si>
    <t>1B, 2B, 3B</t>
  </si>
  <si>
    <t>Broad-scope increment</t>
  </si>
  <si>
    <t>broad scope</t>
  </si>
  <si>
    <t>Diabetes SME</t>
  </si>
  <si>
    <t>Epidemiologist; public health informatics lead</t>
  </si>
  <si>
    <t>A15; A20; A21; A30</t>
  </si>
  <si>
    <t>RD-02</t>
  </si>
  <si>
    <t>WBS-01.09.01</t>
  </si>
  <si>
    <t>WBS-01.09</t>
  </si>
  <si>
    <t>Receiving interface configuration</t>
  </si>
  <si>
    <t>Configure existing PHA intake process</t>
  </si>
  <si>
    <t>Configure secure scheduled receipt, schema validation, acknowledgments, retries, monitoring, and data loading.</t>
  </si>
  <si>
    <t>Operational PHA receiving interface</t>
  </si>
  <si>
    <t>PHA platform team</t>
  </si>
  <si>
    <t>Intermediary; PHA security team</t>
  </si>
  <si>
    <t>recipient interface</t>
  </si>
  <si>
    <t>Interfaces × hours per interface</t>
  </si>
  <si>
    <t>Data engineer</t>
  </si>
  <si>
    <t>Cloud/DevOps engineer; security engineer; BI developer</t>
  </si>
  <si>
    <t>Platform vendor if used</t>
  </si>
  <si>
    <t>PHA technical lead</t>
  </si>
  <si>
    <t>Incremental cloud, software, or interface fees</t>
  </si>
  <si>
    <t>BM-07</t>
  </si>
  <si>
    <t>A39; A41</t>
  </si>
  <si>
    <t>RD-04</t>
  </si>
  <si>
    <t>WBS-01.10.01</t>
  </si>
  <si>
    <t>WBS-01.10</t>
  </si>
  <si>
    <t>Analytics configuration</t>
  </si>
  <si>
    <t>Configure PHA surveillance views and data products</t>
  </si>
  <si>
    <t>Configure the existing analytics environment for prevalence, A1c testing, poor control, and approved stratifications.</t>
  </si>
  <si>
    <t>Configured and documented PHA analytics output</t>
  </si>
  <si>
    <t>analytic output</t>
  </si>
  <si>
    <t>BI developer</t>
  </si>
  <si>
    <t>PHA data analyst; epidemiologist; data engineer</t>
  </si>
  <si>
    <t>Analytics vendor if used</t>
  </si>
  <si>
    <t>Incremental BI or platform license only if needed</t>
  </si>
  <si>
    <t>BM-06</t>
  </si>
  <si>
    <t>A17; A39; A40</t>
  </si>
  <si>
    <t>RD-16</t>
  </si>
  <si>
    <t>WBS-01.11.01</t>
  </si>
  <si>
    <t>WBS-01.11</t>
  </si>
  <si>
    <t>PHA user acceptance</t>
  </si>
  <si>
    <t>Validate line-level and aggregate outputs</t>
  </si>
  <si>
    <t>Reconcile counts, stratifications, trust metadata, schema, and usability against approved acceptance criteria.</t>
  </si>
  <si>
    <t>PHA user-acceptance signoff and discrepancy log</t>
  </si>
  <si>
    <t>PHA analytics and public health teams</t>
  </si>
  <si>
    <t>test cycle</t>
  </si>
  <si>
    <t>Evaluation cycles × hours per cycle</t>
  </si>
  <si>
    <t>Test analyst</t>
  </si>
  <si>
    <t>PHA data analyst; epidemiologist; measure SME</t>
  </si>
  <si>
    <t>BM-10</t>
  </si>
  <si>
    <t>A47; A48</t>
  </si>
  <si>
    <t>RD-06</t>
  </si>
  <si>
    <t>WBS-01.12.01</t>
  </si>
  <si>
    <t>WBS-01.12</t>
  </si>
  <si>
    <t>CMS122 validation</t>
  </si>
  <si>
    <t>Validate intermediary-computed CMS122 output</t>
  </si>
  <si>
    <t>Review denominator, numerator, exclusions, attribution, and discrepancies without implementing a second complete measure engine.</t>
  </si>
  <si>
    <t>CMS122 validation and discrepancy report</t>
  </si>
  <si>
    <t>PHA measure-validation team</t>
  </si>
  <si>
    <t>Fixed per measure</t>
  </si>
  <si>
    <t>digital measure</t>
  </si>
  <si>
    <t>Quality-measure SME</t>
  </si>
  <si>
    <t>PHA data analyst; epidemiologist</t>
  </si>
  <si>
    <t>BM-09</t>
  </si>
  <si>
    <t>A16; A18</t>
  </si>
  <si>
    <t>RD-12</t>
  </si>
  <si>
    <t>WBS-01.13.01</t>
  </si>
  <si>
    <t>WBS-01.13</t>
  </si>
  <si>
    <t>PHA user training</t>
  </si>
  <si>
    <t>Train analysts, program users, and support staff</t>
  </si>
  <si>
    <t>Provide role-based training on data intake, trust metadata, surveillance outputs, issue escalation, and support.</t>
  </si>
  <si>
    <t>Training materials, attendance, and completion records</t>
  </si>
  <si>
    <t>PHA and intermediary trainers</t>
  </si>
  <si>
    <t>training cohort</t>
  </si>
  <si>
    <t>Training cohorts × hours per cohort</t>
  </si>
  <si>
    <t>Trainer</t>
  </si>
  <si>
    <t>PHA data analyst; TA specialist</t>
  </si>
  <si>
    <t>Training materials and travel</t>
  </si>
  <si>
    <t>BM-11</t>
  </si>
  <si>
    <t>A61</t>
  </si>
  <si>
    <t>RD-22</t>
  </si>
  <si>
    <t>WBS-01.14.01</t>
  </si>
  <si>
    <t>WBS-01.14</t>
  </si>
  <si>
    <t>Operational intake and monitoring</t>
  </si>
  <si>
    <t>Operate PHA-side data receipt and issue management</t>
  </si>
  <si>
    <t>Monitor scheduled loads, investigate failures, manage access, and coordinate resolution with the intermediary.</t>
  </si>
  <si>
    <t>Operational logs, issue records, and accepted data loads</t>
  </si>
  <si>
    <t>PHA operations and analytics teams</t>
  </si>
  <si>
    <t>operating month</t>
  </si>
  <si>
    <t>Data operations analyst</t>
  </si>
  <si>
    <t>Help-desk analyst; data engineer; PHA data analyst</t>
  </si>
  <si>
    <t>Incremental cloud and support fees</t>
  </si>
  <si>
    <t>Recurring run-rate estimate</t>
  </si>
  <si>
    <t>BM-13</t>
  </si>
  <si>
    <t>A28; A29; A74; A75</t>
  </si>
  <si>
    <t>RD-14</t>
  </si>
  <si>
    <t>WBS-01.15.01</t>
  </si>
  <si>
    <t>WBS-01.15</t>
  </si>
  <si>
    <t>Public health analysis and action-use review</t>
  </si>
  <si>
    <t>Use the pilot data and document decision utility</t>
  </si>
  <si>
    <t>Analyze burden, testing, poor control, disparities, and data limitations; document how results inform public health action.</t>
  </si>
  <si>
    <t>Recurring surveillance analyses and utility evidence</t>
  </si>
  <si>
    <t>PHA epidemiology team</t>
  </si>
  <si>
    <t>reporting cycle</t>
  </si>
  <si>
    <t>PHA data analyst; public health informatics lead</t>
  </si>
  <si>
    <t>A17; A68; A72</t>
  </si>
  <si>
    <t>RD-28</t>
  </si>
  <si>
    <t>WBS-01.16.01</t>
  </si>
  <si>
    <t>WBS-01.16</t>
  </si>
  <si>
    <t>Site evaluation</t>
  </si>
  <si>
    <t>Design and execute the site-level evaluation</t>
  </si>
  <si>
    <t>Collect and analyze implementation, quality, reuse, decision-utility, cost-driver, and scalability evidence.</t>
  </si>
  <si>
    <t>Evaluation plan, interim findings, and final site report</t>
  </si>
  <si>
    <t>PHA evaluation team</t>
  </si>
  <si>
    <t>evaluation cycle</t>
  </si>
  <si>
    <t>Evaluator</t>
  </si>
  <si>
    <t>Statistician; health economist; epidemiologist; PM</t>
  </si>
  <si>
    <t>Travel and meeting expenses</t>
  </si>
  <si>
    <t>BM-14</t>
  </si>
  <si>
    <t>A68; A69; A71; A72; A76</t>
  </si>
  <si>
    <t>RD-17</t>
  </si>
  <si>
    <t>WBS-01.17.01</t>
  </si>
  <si>
    <t>WBS-01.17</t>
  </si>
  <si>
    <t>Playbook and transition</t>
  </si>
  <si>
    <t>Develop scale recommendations and execute closeout</t>
  </si>
  <si>
    <t>Document governance, implementation, evaluation, cost drivers, sustainability options, data disposition, and access transition.</t>
  </si>
  <si>
    <t>Implementation playbook, transition recommendations, and closeout package</t>
  </si>
  <si>
    <t>PHA project and evaluation teams</t>
  </si>
  <si>
    <t>closeout cycle</t>
  </si>
  <si>
    <t>Technical writer</t>
  </si>
  <si>
    <t>Project manager; evaluator; legal/privacy staff</t>
  </si>
  <si>
    <t>Travel and publication-formatting allowance</t>
  </si>
  <si>
    <t>A66; A77; A78</t>
  </si>
  <si>
    <t>RD-23</t>
  </si>
  <si>
    <t>WBS-02.01.01</t>
  </si>
  <si>
    <t>Technical delivery management</t>
  </si>
  <si>
    <t>Manage intermediary implementation and cross-party delivery</t>
  </si>
  <si>
    <t>Maintain the intermediary workplan, technical dependencies, vendor coordination, risks, and reports.</t>
  </si>
  <si>
    <t>Current intermediary plan, issue log, and status reports</t>
  </si>
  <si>
    <t>HDU</t>
  </si>
  <si>
    <t>HDU project team</t>
  </si>
  <si>
    <t>PHA; HCCN; providers; vendors</t>
  </si>
  <si>
    <t>Scenario-specific</t>
  </si>
  <si>
    <t>Technical lead; project coordinator</t>
  </si>
  <si>
    <t>HDU staff</t>
  </si>
  <si>
    <t>Vendor PM as applicable</t>
  </si>
  <si>
    <t>PHA project manager</t>
  </si>
  <si>
    <t>Travel and indirect costs</t>
  </si>
  <si>
    <t>A10</t>
  </si>
  <si>
    <t>WBS-02.02.01</t>
  </si>
  <si>
    <t>Intermediary agreement and governance support</t>
  </si>
  <si>
    <t>Support agreements, governance, and access approval</t>
  </si>
  <si>
    <t>Provide technical and policy exhibits, participate in agreement negotiation, and operationalize access and audit controls.</t>
  </si>
  <si>
    <t>Executed agreements and operational access procedures</t>
  </si>
  <si>
    <t>HDU legal/privacy team</t>
  </si>
  <si>
    <t>HCCN; providers</t>
  </si>
  <si>
    <t>Privacy specialist; security engineer; project manager</t>
  </si>
  <si>
    <t>WBS-02.03.01</t>
  </si>
  <si>
    <t>Security implementation</t>
  </si>
  <si>
    <t>Configure access, logging, credentials, and incident processes</t>
  </si>
  <si>
    <t>Implement pilot-specific roles, credentials, audit logging, secure transport, certificate management, and escalation procedures using existing security capabilities.</t>
  </si>
  <si>
    <t>Approved and tested security configuration</t>
  </si>
  <si>
    <t>HDU security team</t>
  </si>
  <si>
    <t>PHA; HCCN; vendors</t>
  </si>
  <si>
    <t>connection/environment</t>
  </si>
  <si>
    <t>IAM specialist; DevOps engineer; compliance specialist</t>
  </si>
  <si>
    <t>Incremental security tools/certificates if required</t>
  </si>
  <si>
    <t>A50; A59</t>
  </si>
  <si>
    <t>WBS-02.04.01</t>
  </si>
  <si>
    <t>Minimum dataset specification</t>
  </si>
  <si>
    <t>Develop the pilot-specific diabetes data specification</t>
  </si>
  <si>
    <t>Define required/optional elements, FHIR paths, vocabularies, provenance, timing, geography, attribution, and output use.</t>
  </si>
  <si>
    <t>Approved Chronic Care Cascade Minimum Dataset Specification</t>
  </si>
  <si>
    <t>HDU data standards team</t>
  </si>
  <si>
    <t>PHA; HCCN; providers; measure SME</t>
  </si>
  <si>
    <t>Fixed per clinical scope</t>
  </si>
  <si>
    <t>dataset scope</t>
  </si>
  <si>
    <t>Data architect</t>
  </si>
  <si>
    <t>Interoperability architect; terminology specialist; clinical SME</t>
  </si>
  <si>
    <t>Vendor product specialists</t>
  </si>
  <si>
    <t>Terminology-service fees if incremental</t>
  </si>
  <si>
    <t>Bottom-up labor estimate / bounded analogue</t>
  </si>
  <si>
    <t>BM-08</t>
  </si>
  <si>
    <t>A14; A15</t>
  </si>
  <si>
    <t>WBS-02.05.01</t>
  </si>
  <si>
    <t>Mapping and value-set delta analysis</t>
  </si>
  <si>
    <t>Assess existing mappings and specify pilot deltas</t>
  </si>
  <si>
    <t>Review each source configuration for A1c, diabetes diagnosis, medications, encounters, attribution, and provenance.</t>
  </si>
  <si>
    <t>Source-specific mapping delta package</t>
  </si>
  <si>
    <t>HDU interoperability team</t>
  </si>
  <si>
    <t>Vendors; providers; HCCN</t>
  </si>
  <si>
    <t>source configuration</t>
  </si>
  <si>
    <t>Source configurations × hours per configuration</t>
  </si>
  <si>
    <t>Interoperability architect</t>
  </si>
  <si>
    <t>Terminology specialist; data analyst; clinical SME</t>
  </si>
  <si>
    <t>Terminology and validation tools</t>
  </si>
  <si>
    <t>A07; A31; A37</t>
  </si>
  <si>
    <t>RD-11</t>
  </si>
  <si>
    <t>WBS-02.06.01</t>
  </si>
  <si>
    <t>Trust and conformance rule definition</t>
  </si>
  <si>
    <t>Define diabetes-specific quality checks and release rules</t>
  </si>
  <si>
    <t>Adapt existing conformance, completeness, timeliness, provenance, and audit measures; define severity and release behavior.</t>
  </si>
  <si>
    <t>Pilot trust-rule specification and threshold decision log</t>
  </si>
  <si>
    <t>HDU data-quality team</t>
  </si>
  <si>
    <t>PHA; providers; vendors</t>
  </si>
  <si>
    <t>Fixed plus variable</t>
  </si>
  <si>
    <t>Fixed hours + quantity × hours per unit</t>
  </si>
  <si>
    <t>Data-quality analyst</t>
  </si>
  <si>
    <t>FHIR specialist; public health informatics lead; test manager</t>
  </si>
  <si>
    <t>Validation-tool vendor if used</t>
  </si>
  <si>
    <t>Validation-tool licenses if incremental</t>
  </si>
  <si>
    <t>A36; A47</t>
  </si>
  <si>
    <t>WBS-02.07.01</t>
  </si>
  <si>
    <t>Architecture and interface delta review</t>
  </si>
  <si>
    <t>Review existing architecture and update pilot-specific documentation</t>
  </si>
  <si>
    <t>Confirm current services, data flows, environments, handoffs, and interfaces; document only necessary pilot deltas.</t>
  </si>
  <si>
    <t>Approved architecture and interface-control update package</t>
  </si>
  <si>
    <t>HDU architecture team</t>
  </si>
  <si>
    <t>Solution architect</t>
  </si>
  <si>
    <t>Interoperability architect; security architect; DevOps engineer</t>
  </si>
  <si>
    <t>Vendor architects if needed</t>
  </si>
  <si>
    <t>A33</t>
  </si>
  <si>
    <t>WBS-02.08.01</t>
  </si>
  <si>
    <t>Source interface configuration</t>
  </si>
  <si>
    <t>Configure existing source interfaces for the pilot</t>
  </si>
  <si>
    <t>Configure filters, schedules, credentials, routing, incremental behavior, acknowledgments, retries, and source-specific data contracts.</t>
  </si>
  <si>
    <t>Configured and documented production source connections</t>
  </si>
  <si>
    <t>HDU integration team</t>
  </si>
  <si>
    <t>Providers; vendors; HCCN</t>
  </si>
  <si>
    <t>production interface</t>
  </si>
  <si>
    <t>Integration engineer</t>
  </si>
  <si>
    <t>FHIR specialist; DevOps engineer; security engineer</t>
  </si>
  <si>
    <t>HDU technical lead</t>
  </si>
  <si>
    <t>Interface and vendor implementation fees</t>
  </si>
  <si>
    <t>A31; A41; A43</t>
  </si>
  <si>
    <t>RD-03</t>
  </si>
  <si>
    <t>WBS-02.09.01</t>
  </si>
  <si>
    <t>WBS-02.09</t>
  </si>
  <si>
    <t>Normalization, matching, attribution, and cohort updates</t>
  </si>
  <si>
    <t>Configure existing data-processing services</t>
  </si>
  <si>
    <t>Apply limited diabetes-specific updates to normalization, deduplication, provider-panel attribution, and cohort logic while preserving provenance.</t>
  </si>
  <si>
    <t>Validated curated diabetes cohort and attribution output</t>
  </si>
  <si>
    <t>HDU data-engineering team</t>
  </si>
  <si>
    <t>HCCN; providers; PHA</t>
  </si>
  <si>
    <t>MPI specialist; attribution specialist; terminology specialist</t>
  </si>
  <si>
    <t>PHA measure and public health teams</t>
  </si>
  <si>
    <t>Existing platform allocation; incremental compute</t>
  </si>
  <si>
    <t>A19; A34</t>
  </si>
  <si>
    <t>RD-08</t>
  </si>
  <si>
    <t>WBS-02.09.02</t>
  </si>
  <si>
    <t>Broad-cascade processing increment</t>
  </si>
  <si>
    <t>Configure medication, follow-up, and utilization logic</t>
  </si>
  <si>
    <t>Add the incremental transformations and cohort logic required for the broad longitudinal scope.</t>
  </si>
  <si>
    <t>Validated broad-cascade dataset</t>
  </si>
  <si>
    <t>Providers; PHA</t>
  </si>
  <si>
    <t>Clinical SME; terminology specialist; interoperability architect</t>
  </si>
  <si>
    <t>Vendor specialists if required</t>
  </si>
  <si>
    <t>PHA clinical team</t>
  </si>
  <si>
    <t>Incremental compute and terminology services</t>
  </si>
  <si>
    <t>WBS-02.10.01</t>
  </si>
  <si>
    <t>WBS-02.10</t>
  </si>
  <si>
    <t>De-identification and aggregate-output configuration</t>
  </si>
  <si>
    <t>Configure existing privacy and transformation services</t>
  </si>
  <si>
    <t>Configure de-identified line-level and aggregate PHA outputs and validate reconciliation.</t>
  </si>
  <si>
    <t>Approved de-identified and aggregate output processes</t>
  </si>
  <si>
    <t>HDU data and privacy engineering team</t>
  </si>
  <si>
    <t>Privacy specialist; database engineer; QA analyst</t>
  </si>
  <si>
    <t>Incremental storage/compute</t>
  </si>
  <si>
    <t>A22; A35</t>
  </si>
  <si>
    <t>WBS-02.11.01</t>
  </si>
  <si>
    <t>WBS-02.11</t>
  </si>
  <si>
    <t>Trust layer and scorecard configuration</t>
  </si>
  <si>
    <t>Configure existing trust services and source diagnostics</t>
  </si>
  <si>
    <t>Implement diabetes-specific quality rules, dashboards, source reports, and release flags.</t>
  </si>
  <si>
    <t>Operational trust scorecard and source-specific diagnostics</t>
  </si>
  <si>
    <t>HDU data-quality and BI teams</t>
  </si>
  <si>
    <t>BI developer; FHIR specialist; data engineer</t>
  </si>
  <si>
    <t>Validation vendor if used</t>
  </si>
  <si>
    <t>Validation and BI license increments</t>
  </si>
  <si>
    <t>A36; A37</t>
  </si>
  <si>
    <t>WBS-02.12.01</t>
  </si>
  <si>
    <t>WBS-02.12</t>
  </si>
  <si>
    <t>CMS122 configuration</t>
  </si>
  <si>
    <t>Configure CMS122 in existing measure tooling</t>
  </si>
  <si>
    <t>Implement the applicable measure version, value sets, attribution, exclusions, and result reporting.</t>
  </si>
  <si>
    <t>Executable and documented CMS122 configuration</t>
  </si>
  <si>
    <t>HDU measure team</t>
  </si>
  <si>
    <t>PHA; providers</t>
  </si>
  <si>
    <t>CQL developer</t>
  </si>
  <si>
    <t>Quality-measure SME; data engineer; terminology specialist</t>
  </si>
  <si>
    <t>Measure-engine vendor if used</t>
  </si>
  <si>
    <t>Measure-engine or terminology license increments</t>
  </si>
  <si>
    <t>WBS-02.13.01</t>
  </si>
  <si>
    <t>WBS-02.13</t>
  </si>
  <si>
    <t>PHA delivery configuration</t>
  </si>
  <si>
    <t>Configure secure scheduled delivery and monitoring</t>
  </si>
  <si>
    <t>Configure output packaging, secure transport, acknowledgments, retries, schema checks, and delivery monitoring.</t>
  </si>
  <si>
    <t>Operational intermediary-to-PHA delivery interface</t>
  </si>
  <si>
    <t>HDU integration and operations teams</t>
  </si>
  <si>
    <t>PHA platform/security teams</t>
  </si>
  <si>
    <t>Security engineer; DevOps engineer; data engineer</t>
  </si>
  <si>
    <t>Transport vendor if used</t>
  </si>
  <si>
    <t>Interface setup and recurring connection fees</t>
  </si>
  <si>
    <t>A41</t>
  </si>
  <si>
    <t>WBS-02.14.01</t>
  </si>
  <si>
    <t>WBS-02.14</t>
  </si>
  <si>
    <t>Integrated test planning and execution</t>
  </si>
  <si>
    <t>Plan and execute interface, data, security, operational, measure, and recovery tests</t>
  </si>
  <si>
    <t>Coordinate test cases, test data, expected results, defects, and exit criteria across all source configurations.</t>
  </si>
  <si>
    <t>Approved test plan and completed test results</t>
  </si>
  <si>
    <t>HDU test team</t>
  </si>
  <si>
    <t>Test manager</t>
  </si>
  <si>
    <t>QA analyst; security engineer; data-quality analyst</t>
  </si>
  <si>
    <t>Vendor test support</t>
  </si>
  <si>
    <t>Validation/test tools</t>
  </si>
  <si>
    <t>RD-29</t>
  </si>
  <si>
    <t>WBS-02.15.01</t>
  </si>
  <si>
    <t>WBS-02.15</t>
  </si>
  <si>
    <t>Run baseline conformance and data-quality assessment</t>
  </si>
  <si>
    <t>Execute trust checks for each source configuration and produce source-specific diagnostic reports.</t>
  </si>
  <si>
    <t>Baseline scorecard and defect register</t>
  </si>
  <si>
    <t>FHIR specialist; data analyst; clinical SME</t>
  </si>
  <si>
    <t>Vendor support</t>
  </si>
  <si>
    <t>Validation-tool usage</t>
  </si>
  <si>
    <t>WBS-02.16.01</t>
  </si>
  <si>
    <t>WBS-02.16</t>
  </si>
  <si>
    <t>Coordinate remediation cycles</t>
  </si>
  <si>
    <t>Triage, retest, and close source-specific defects</t>
  </si>
  <si>
    <t>Issue diagnostics, coordinate fixes, reprocess data, and document results for two remediation cycles.</t>
  </si>
  <si>
    <t>Completed remediation evidence and accepted residual limitations</t>
  </si>
  <si>
    <t>HDU test and data-quality teams</t>
  </si>
  <si>
    <t>source configuration per cycle</t>
  </si>
  <si>
    <t>Remediation cycles × source configurations × hours per cycle</t>
  </si>
  <si>
    <t>Test manager; integration engineer; project manager</t>
  </si>
  <si>
    <t>A48</t>
  </si>
  <si>
    <t>RD-07</t>
  </si>
  <si>
    <t>WBS-02.17.01</t>
  </si>
  <si>
    <t>WBS-02.17</t>
  </si>
  <si>
    <t>Go-live readiness and cutover</t>
  </si>
  <si>
    <t>Complete production readiness review and initial stabilization</t>
  </si>
  <si>
    <t>Confirm legal, technical, security, data, support, rollback, and monitoring readiness; support first production cycles.</t>
  </si>
  <si>
    <t>Go-live approval and first accepted production data product</t>
  </si>
  <si>
    <t>HDU implementation team</t>
  </si>
  <si>
    <t>go-live event</t>
  </si>
  <si>
    <t>Test manager; operations engineer; integration engineer</t>
  </si>
  <si>
    <t>PHA governance body</t>
  </si>
  <si>
    <t>Travel if in-person</t>
  </si>
  <si>
    <t>A64</t>
  </si>
  <si>
    <t>WBS-02.18.01</t>
  </si>
  <si>
    <t>WBS-02.18</t>
  </si>
  <si>
    <t>Participant technical onboarding</t>
  </si>
  <si>
    <t>Validate readiness and onboard source organizations</t>
  </si>
  <si>
    <t>Confirm contacts, technical inventory, credentials, support handoffs, and production-readiness evidence.</t>
  </si>
  <si>
    <t>Completed onboarding checklist for each source organization</t>
  </si>
  <si>
    <t>HDU onboarding team</t>
  </si>
  <si>
    <t>Providers; HCCN; vendors</t>
  </si>
  <si>
    <t>organization</t>
  </si>
  <si>
    <t>Organizations × hours per organization</t>
  </si>
  <si>
    <t>Onboarding specialist</t>
  </si>
  <si>
    <t>TA specialist; integration engineer; project coordinator</t>
  </si>
  <si>
    <t>BM-12</t>
  </si>
  <si>
    <t>A04; A05; A61</t>
  </si>
  <si>
    <t>RD-18</t>
  </si>
  <si>
    <t>WBS-02.19.01</t>
  </si>
  <si>
    <t>WBS-02.19</t>
  </si>
  <si>
    <t>Operations and source-support training</t>
  </si>
  <si>
    <t>Train intermediary operations and source support contacts</t>
  </si>
  <si>
    <t>Train users on trust reports, error handling, escalation, monitoring, and support procedures.</t>
  </si>
  <si>
    <t>Completed training and role acknowledgments</t>
  </si>
  <si>
    <t>HDU training team</t>
  </si>
  <si>
    <t>PHA; providers; HCCN</t>
  </si>
  <si>
    <t>TA specialist; operations engineer; data-quality analyst</t>
  </si>
  <si>
    <t>HDU and participant staff</t>
  </si>
  <si>
    <t>HDU operations lead</t>
  </si>
  <si>
    <t>WBS-02.20.01</t>
  </si>
  <si>
    <t>WBS-02.20</t>
  </si>
  <si>
    <t>Daily pipeline operations</t>
  </si>
  <si>
    <t>Operate ingestion, processing, trust, measure, and delivery services</t>
  </si>
  <si>
    <t>Monitor daily incremental loads, retries, backlog, quality checks, CMS122 processing, and PHA delivery.</t>
  </si>
  <si>
    <t>Successful operational processing and delivery records</t>
  </si>
  <si>
    <t>HDU operations team</t>
  </si>
  <si>
    <t>HCCN; providers; vendors; PHA</t>
  </si>
  <si>
    <t>Operations engineer</t>
  </si>
  <si>
    <t>SRE; data operations analyst; integration engineer</t>
  </si>
  <si>
    <t>Cloud, storage, software, interface, and support fees</t>
  </si>
  <si>
    <t>WBS-02.21.01</t>
  </si>
  <si>
    <t>WBS-02.21</t>
  </si>
  <si>
    <t>Help desk and incident resolution</t>
  </si>
  <si>
    <t>Provide business-hours support and critical escalation</t>
  </si>
  <si>
    <t>Resolve interface, data, access, and output issues and coordinate vendor or participant action.</t>
  </si>
  <si>
    <t>Support-ticket and incident-resolution records</t>
  </si>
  <si>
    <t>HDU service desk</t>
  </si>
  <si>
    <t>Variable recurring</t>
  </si>
  <si>
    <t>support ticket</t>
  </si>
  <si>
    <t>Support tickets × hours per ticket</t>
  </si>
  <si>
    <t>Help-desk analyst</t>
  </si>
  <si>
    <t>Operations engineer; data-quality analyst; integration engineer</t>
  </si>
  <si>
    <t>Service-desk tooling if incremental</t>
  </si>
  <si>
    <t>Parametric estimate</t>
  </si>
  <si>
    <t>A22; A61</t>
  </si>
  <si>
    <t>RD-15</t>
  </si>
  <si>
    <t>WBS-02.22.01</t>
  </si>
  <si>
    <t>WBS-02.22</t>
  </si>
  <si>
    <t>Monthly SLA and trust reporting</t>
  </si>
  <si>
    <t>Produce operational and data-quality reports</t>
  </si>
  <si>
    <t>Report volumes, latency, failures, completeness, conformance, provenance, incidents, and remediation status.</t>
  </si>
  <si>
    <t>Monthly operational and trust reports</t>
  </si>
  <si>
    <t>HDU operations and data-quality teams</t>
  </si>
  <si>
    <t>PHA; source participants</t>
  </si>
  <si>
    <t>Data-quality analyst; project manager</t>
  </si>
  <si>
    <t>A23; A69</t>
  </si>
  <si>
    <t>RD-30</t>
  </si>
  <si>
    <t>WBS-02.23.01</t>
  </si>
  <si>
    <t>WBS-02.23</t>
  </si>
  <si>
    <t>Technical evaluation evidence</t>
  </si>
  <si>
    <t>Provide implementation, quality, reuse, support, and cost-driver evidence</t>
  </si>
  <si>
    <t>Extract operational metrics, document effort and issues, participate in interviews, and analyze technical scalability.</t>
  </si>
  <si>
    <t>Intermediary evaluation dataset and findings</t>
  </si>
  <si>
    <t>HDU evaluation and operations teams</t>
  </si>
  <si>
    <t>PHA evaluator; HCCN; providers</t>
  </si>
  <si>
    <t>Data analyst; operations engineer; project manager; architect</t>
  </si>
  <si>
    <t>PHA evaluation lead</t>
  </si>
  <si>
    <t>A68; A71; A72</t>
  </si>
  <si>
    <t>WBS-02.24.01</t>
  </si>
  <si>
    <t>WBS-02.24</t>
  </si>
  <si>
    <t>Technical documentation and closeout</t>
  </si>
  <si>
    <t>Produce implementation notes, runbooks, source lessons, and transition records</t>
  </si>
  <si>
    <t>Document reusable configuration patterns, limitations, support procedures, data disposition, and access changes.</t>
  </si>
  <si>
    <t>Technical playbook content and completed intermediary closeout</t>
  </si>
  <si>
    <t>HDU technical writing and project teams</t>
  </si>
  <si>
    <t>Solution architect; project manager; operations engineer</t>
  </si>
  <si>
    <t>Travel if required</t>
  </si>
  <si>
    <t>A77; A78</t>
  </si>
  <si>
    <t>WBS-03.01.01</t>
  </si>
  <si>
    <t>Member and vendor coordination</t>
  </si>
  <si>
    <t>Coordinate ten FQHCs and shared vendor work</t>
  </si>
  <si>
    <t>Manage member contacts, schedules, shared configuration dependencies, risks, and reporting.</t>
  </si>
  <si>
    <t>Current HCCN implementation plan and member action log</t>
  </si>
  <si>
    <t>HCCN project team</t>
  </si>
  <si>
    <t>FQHCs; vendors; PHA; HDU where applicable</t>
  </si>
  <si>
    <t>Member-services coordinator; business analyst</t>
  </si>
  <si>
    <t>HCCN staff</t>
  </si>
  <si>
    <t>Vendor PM</t>
  </si>
  <si>
    <t>Travel and participant indirects</t>
  </si>
  <si>
    <t>BM-15</t>
  </si>
  <si>
    <t>A06; A08</t>
  </si>
  <si>
    <t>WBS-03.02.01</t>
  </si>
  <si>
    <t>HCCN/FQHC participation framework</t>
  </si>
  <si>
    <t>Execute the HCCN-level agreement and member amendments</t>
  </si>
  <si>
    <t>Coordinate one principal agreement and lightweight amendments/BAAs for ten FQHCs.</t>
  </si>
  <si>
    <t>Executed HCCN agreement and member participation instruments</t>
  </si>
  <si>
    <t>HCCN legal/privacy team</t>
  </si>
  <si>
    <t>PHA; FQHC counsel; HDU</t>
  </si>
  <si>
    <t>agreement/member</t>
  </si>
  <si>
    <t>Privacy specialist; member-services coordinator</t>
  </si>
  <si>
    <t>HCCN and FQHC staff</t>
  </si>
  <si>
    <t>PHA legal team</t>
  </si>
  <si>
    <t>External legal services</t>
  </si>
  <si>
    <t>WBS-03.03.01</t>
  </si>
  <si>
    <t>HCCN security and access coordination</t>
  </si>
  <si>
    <t>Approve member access and consolidated-feed security</t>
  </si>
  <si>
    <t>Coordinate credentials, secure transport, role assignments, logging, incident procedures, and member security questions.</t>
  </si>
  <si>
    <t>Approved HCCN security configuration and member procedures</t>
  </si>
  <si>
    <t>HCCN security team</t>
  </si>
  <si>
    <t>FQHCs; vendors; HDU/PHA</t>
  </si>
  <si>
    <t>shared configuration</t>
  </si>
  <si>
    <t>IAM specialist; compliance specialist; project manager</t>
  </si>
  <si>
    <t>Vendor security support</t>
  </si>
  <si>
    <t>PHA/HDU security teams</t>
  </si>
  <si>
    <t>Incremental security tools if required</t>
  </si>
  <si>
    <t>A08; A59</t>
  </si>
  <si>
    <t>WBS-03.04.01</t>
  </si>
  <si>
    <t>FQHC data and panel feasibility review</t>
  </si>
  <si>
    <t>Validate FQHC source coverage, panel rosters, and shared mappings</t>
  </si>
  <si>
    <t>Assess two shared vendor configurations and confirm member-level provenance, attribution, and required diabetes data.</t>
  </si>
  <si>
    <t>FQHC source inventory, panel roster, and mapping issues</t>
  </si>
  <si>
    <t>HCCN data team</t>
  </si>
  <si>
    <t>shared source configuration</t>
  </si>
  <si>
    <t>Clinical informaticist</t>
  </si>
  <si>
    <t>Data architect; attribution specialist; business analyst</t>
  </si>
  <si>
    <t>Vendor specialists</t>
  </si>
  <si>
    <t>A08; A19</t>
  </si>
  <si>
    <t>WBS-03.05.01</t>
  </si>
  <si>
    <t>Consolidated FQHC export</t>
  </si>
  <si>
    <t>Configure or update one consolidated HCCN export</t>
  </si>
  <si>
    <t>Aggregate the two shared FQHC configurations into a standardized member-aware export with provenance and panel context.</t>
  </si>
  <si>
    <t>Validated consolidated FQHC export</t>
  </si>
  <si>
    <t>HCCN integration team</t>
  </si>
  <si>
    <t>FQHC vendors; FQHCs; HDU</t>
  </si>
  <si>
    <t>consolidated interface</t>
  </si>
  <si>
    <t>FHIR specialist; data engineer; attribution specialist</t>
  </si>
  <si>
    <t>Vendor implementation and recurring interface fees</t>
  </si>
  <si>
    <t>A42; A43</t>
  </si>
  <si>
    <t>WBS-03.06.01</t>
  </si>
  <si>
    <t>HCCN-as-intermediary processing</t>
  </si>
  <si>
    <t>Configure full intermediary services for Scenario 3</t>
  </si>
  <si>
    <t>Configure ingestion of two non-FQHC providers, normalization, trust, de-identification, CMS122, monitoring, and PHA delivery using HCCN infrastructure.</t>
  </si>
  <si>
    <t>Operational HCCN intermediary pathway</t>
  </si>
  <si>
    <t>HCCN technical team</t>
  </si>
  <si>
    <t>3A, 3B</t>
  </si>
  <si>
    <t>source configuration/interface</t>
  </si>
  <si>
    <t>Integration engineer; data engineer; data-quality analyst; DevOps</t>
  </si>
  <si>
    <t>Cloud, platform, interface, validation, and measure-tool costs</t>
  </si>
  <si>
    <t>Very high</t>
  </si>
  <si>
    <t>A11; A34; A35; A36</t>
  </si>
  <si>
    <t>RD-05</t>
  </si>
  <si>
    <t>WBS-03.07.01</t>
  </si>
  <si>
    <t>FQHC test coordination</t>
  </si>
  <si>
    <t>Coordinate test data and defects across ten FQHCs</t>
  </si>
  <si>
    <t>Organize shared-vendor test runs, member-level issue review, provenance checks, and attribution reconciliation.</t>
  </si>
  <si>
    <t>FQHC test evidence and member defect log</t>
  </si>
  <si>
    <t>HCCN data-quality team</t>
  </si>
  <si>
    <t>QA analyst</t>
  </si>
  <si>
    <t>Data-quality analyst; member-services coordinator</t>
  </si>
  <si>
    <t>HDU/PHA test lead</t>
  </si>
  <si>
    <t>Validation tools if incremental</t>
  </si>
  <si>
    <t>A08; A48</t>
  </si>
  <si>
    <t>WBS-03.08.01</t>
  </si>
  <si>
    <t>FQHC remediation coordination</t>
  </si>
  <si>
    <t>Coordinate two remediation cycles across member sites</t>
  </si>
  <si>
    <t>Distribute findings, assign owners, support shared fixes, collect evidence, and coordinate retesting.</t>
  </si>
  <si>
    <t>Completed member remediation records</t>
  </si>
  <si>
    <t>HCCN project and data teams</t>
  </si>
  <si>
    <t>shared configuration per cycle</t>
  </si>
  <si>
    <t>Member-services coordinator; project manager</t>
  </si>
  <si>
    <t>WBS-03.09.01</t>
  </si>
  <si>
    <t>WBS-03.09</t>
  </si>
  <si>
    <t>FQHC member onboarding</t>
  </si>
  <si>
    <t>Validate and complete onboarding for ten FQHCs</t>
  </si>
  <si>
    <t>Confirm participation instruments, contacts, source inventory, panels, support responsibilities, and training completion.</t>
  </si>
  <si>
    <t>Completed onboarding record for each FQHC</t>
  </si>
  <si>
    <t>HCCN member-services team</t>
  </si>
  <si>
    <t>FQHCs; vendors</t>
  </si>
  <si>
    <t>FQHC</t>
  </si>
  <si>
    <t>FQHCs × hours per FQHC</t>
  </si>
  <si>
    <t>Member-services coordinator; TA specialist</t>
  </si>
  <si>
    <t>PHA/HDU project lead</t>
  </si>
  <si>
    <t>A05; A06</t>
  </si>
  <si>
    <t>WBS-03.10.01</t>
  </si>
  <si>
    <t>WBS-03.10</t>
  </si>
  <si>
    <t>Member training</t>
  </si>
  <si>
    <t>Train FQHC operational, IT, and clinical contacts</t>
  </si>
  <si>
    <t>Provide training on source responsibilities, trust reports, remediation, incidents, and evaluation evidence.</t>
  </si>
  <si>
    <t>Training materials and completion records</t>
  </si>
  <si>
    <t>HCCN training team</t>
  </si>
  <si>
    <t>HCCN project lead</t>
  </si>
  <si>
    <t>Travel and training materials</t>
  </si>
  <si>
    <t>WBS-03.11.01</t>
  </si>
  <si>
    <t>WBS-03.11</t>
  </si>
  <si>
    <t>Consolidated-feed operations</t>
  </si>
  <si>
    <t>Operate the HCCN feed and member support</t>
  </si>
  <si>
    <t>Monitor extraction and consolidation, resolve member and vendor issues, maintain panels, and coordinate incident response.</t>
  </si>
  <si>
    <t>Operational feed logs and member support records</t>
  </si>
  <si>
    <t>HCCN operations team</t>
  </si>
  <si>
    <t>Operations analyst</t>
  </si>
  <si>
    <t>Help-desk analyst; data engineer; member-services coordinator</t>
  </si>
  <si>
    <t>HCCN operations lead</t>
  </si>
  <si>
    <t>Platform, interface, and vendor support fees</t>
  </si>
  <si>
    <t>A74; A75</t>
  </si>
  <si>
    <t>WBS-03.12.01</t>
  </si>
  <si>
    <t>WBS-03.12</t>
  </si>
  <si>
    <t>Scenario 3 intermediary operations increment</t>
  </si>
  <si>
    <t>Operate trust, CMS122, and PHA delivery in Scenario 3</t>
  </si>
  <si>
    <t>Perform the recurring intermediary functions otherwise borne by the HIE/HDU.</t>
  </si>
  <si>
    <t>Scenario 3 operational reports and accepted PHA deliveries</t>
  </si>
  <si>
    <t>HCCN intermediary operations team</t>
  </si>
  <si>
    <t>Data-quality analyst; data operations analyst; help desk</t>
  </si>
  <si>
    <t>Platform vendor support</t>
  </si>
  <si>
    <t>Cloud, software, interface, and support fees</t>
  </si>
  <si>
    <t>A11; A40</t>
  </si>
  <si>
    <t>WBS-03.13.01</t>
  </si>
  <si>
    <t>WBS-03.13</t>
  </si>
  <si>
    <t>HCCN evaluation evidence</t>
  </si>
  <si>
    <t>Document member effort, readiness, remediation, operations, and scale</t>
  </si>
  <si>
    <t>Collect member-level evidence and identify shared-service efficiencies and cost drivers.</t>
  </si>
  <si>
    <t>HCCN evaluation evidence and lessons learned</t>
  </si>
  <si>
    <t>HCCN evaluation/project team</t>
  </si>
  <si>
    <t>FQHCs; vendors; HDU</t>
  </si>
  <si>
    <t>Project manager; member-services coordinator; data analyst</t>
  </si>
  <si>
    <t>A71; A72</t>
  </si>
  <si>
    <t>WBS-03.14.01</t>
  </si>
  <si>
    <t>WBS-03.14</t>
  </si>
  <si>
    <t>Member closeout and documentation</t>
  </si>
  <si>
    <t>Complete member transition, access, data, and lessons-learned activities</t>
  </si>
  <si>
    <t>Support final documentation, disposition, access changes, and member communications.</t>
  </si>
  <si>
    <t>HCCN closeout package</t>
  </si>
  <si>
    <t>FQHCs; vendors; PHA/HDU</t>
  </si>
  <si>
    <t>Technical writer; legal/privacy staff; member-services coordinator</t>
  </si>
  <si>
    <t>A66; A77</t>
  </si>
  <si>
    <t>WBS-04.01.01</t>
  </si>
  <si>
    <t>Provider participation management</t>
  </si>
  <si>
    <t>Designate leads and coordinate pilot participation</t>
  </si>
  <si>
    <t>Attend planning, track actions, coordinate internal IT/clinical/privacy staff, and manage vendor dependencies.</t>
  </si>
  <si>
    <t>Provider participation plan and completed action items</t>
  </si>
  <si>
    <t>Provider organization</t>
  </si>
  <si>
    <t>Provider project lead</t>
  </si>
  <si>
    <t>HCCN/HDU; vendor; PHA</t>
  </si>
  <si>
    <t>provider organization</t>
  </si>
  <si>
    <t>Provider IT lead</t>
  </si>
  <si>
    <t>Project coordinator; clinical informaticist</t>
  </si>
  <si>
    <t>Provider staff</t>
  </si>
  <si>
    <t>Provider executive sponsor</t>
  </si>
  <si>
    <t>Participant indirect costs</t>
  </si>
  <si>
    <t>BM-16</t>
  </si>
  <si>
    <t>A04; A05; A09</t>
  </si>
  <si>
    <t>WBS-04.02.01</t>
  </si>
  <si>
    <t>Provider legal and privacy review</t>
  </si>
  <si>
    <t>Review and execute participation and data-sharing instruments</t>
  </si>
  <si>
    <t>Review permitted use, fields, retention implementation, de-identification, access, and liability.</t>
  </si>
  <si>
    <t>Executed provider agreement or participation amendment</t>
  </si>
  <si>
    <t>Provider legal/privacy team</t>
  </si>
  <si>
    <t>PHA; HCCN/HDU</t>
  </si>
  <si>
    <t>Privacy specialist; provider project lead</t>
  </si>
  <si>
    <t>Provider authorized signatory</t>
  </si>
  <si>
    <t>A09; A51; A52</t>
  </si>
  <si>
    <t>WBS-04.03.01</t>
  </si>
  <si>
    <t>Provider security and connection approval</t>
  </si>
  <si>
    <t>Approve endpoint use, credentials, and incident procedures</t>
  </si>
  <si>
    <t>Complete source-side security review and authorize the pilot connection or configuration.</t>
  </si>
  <si>
    <t>Provider security approval and connection contacts</t>
  </si>
  <si>
    <t>Provider security/IT team</t>
  </si>
  <si>
    <t>Vendor; HCCN/HDU</t>
  </si>
  <si>
    <t>Provider IT lead; privacy specialist</t>
  </si>
  <si>
    <t>Provider security authority</t>
  </si>
  <si>
    <t>None unless vendor/security fees apply</t>
  </si>
  <si>
    <t>A31; A59</t>
  </si>
  <si>
    <t>WBS-04.04.01</t>
  </si>
  <si>
    <t>Clinical source validation</t>
  </si>
  <si>
    <t>Validate source semantics and care workflows</t>
  </si>
  <si>
    <t>Review A1c, diabetes diagnosis, medications, encounters, provider panels, follow-up, and data provenance.</t>
  </si>
  <si>
    <t>Provider-approved source mapping and workflow notes</t>
  </si>
  <si>
    <t>Provider clinical informatics team</t>
  </si>
  <si>
    <t>Vendor; HCCN/HDU; PHA</t>
  </si>
  <si>
    <t>Diabetes SME; provider IT lead; data analyst</t>
  </si>
  <si>
    <t>Vendor specialist</t>
  </si>
  <si>
    <t>HCCN/HDU data team</t>
  </si>
  <si>
    <t>A19; A20</t>
  </si>
  <si>
    <t>WBS-04.04.02</t>
  </si>
  <si>
    <t>Broad-scope clinical validation</t>
  </si>
  <si>
    <t>Validate medication, follow-up, and utilization definitions</t>
  </si>
  <si>
    <t>Perform incremental clinical and workflow review for the broad longitudinal scope.</t>
  </si>
  <si>
    <t>Approved broad-scope provider mapping and limitations</t>
  </si>
  <si>
    <t>HCCN/HDU; PHA</t>
  </si>
  <si>
    <t>Diabetes SME; data analyst</t>
  </si>
  <si>
    <t>WBS-04.05.01</t>
  </si>
  <si>
    <t>Source-system configuration support</t>
  </si>
  <si>
    <t>Authorize and support vendor configuration</t>
  </si>
  <si>
    <t>Provide access, approve filters and schedules, validate endpoint behavior, and coordinate source-specific implementation.</t>
  </si>
  <si>
    <t>Configured and authorized source pattern</t>
  </si>
  <si>
    <t>Provider IT team</t>
  </si>
  <si>
    <t>EHR vendor; HCCN/HDU</t>
  </si>
  <si>
    <t>Clinical informaticist; security engineer</t>
  </si>
  <si>
    <t>EHR vendor product specialist</t>
  </si>
  <si>
    <t>HCCN/HDU technical lead</t>
  </si>
  <si>
    <t>Vendor implementation and interface fees</t>
  </si>
  <si>
    <t>A07; A31; A43</t>
  </si>
  <si>
    <t>WBS-04.06.01</t>
  </si>
  <si>
    <t>Panel and roster preparation</t>
  </si>
  <si>
    <t>Provide and reconcile provider-panel attribution data</t>
  </si>
  <si>
    <t>Extract, validate, and correct provider rosters and patient panels required for cohort and measure logic.</t>
  </si>
  <si>
    <t>Validated attribution roster and exception log</t>
  </si>
  <si>
    <t>Provider operations/data team</t>
  </si>
  <si>
    <t>HCCN/HDU</t>
  </si>
  <si>
    <t>Data analyst</t>
  </si>
  <si>
    <t>Provider IT lead; clinical informaticist</t>
  </si>
  <si>
    <t>Vendor specialist if needed</t>
  </si>
  <si>
    <t>HCCN/HDU attribution specialist</t>
  </si>
  <si>
    <t>A19</t>
  </si>
  <si>
    <t>WBS-04.07.01</t>
  </si>
  <si>
    <t>Source testing and baseline review</t>
  </si>
  <si>
    <t>Review pilot extracts and baseline diagnostics</t>
  </si>
  <si>
    <t>Validate transmitted data, investigate discrepancies, and confirm source-specific trust findings.</t>
  </si>
  <si>
    <t>Provider test signoff and baseline issue list</t>
  </si>
  <si>
    <t>Provider IT/clinical team</t>
  </si>
  <si>
    <t>Clinical informaticist; provider IT lead; data analyst</t>
  </si>
  <si>
    <t>HCCN/HDU test lead</t>
  </si>
  <si>
    <t>Vendor test fees if applicable</t>
  </si>
  <si>
    <t>WBS-04.08.01</t>
  </si>
  <si>
    <t>Source remediation</t>
  </si>
  <si>
    <t>Correct source configuration or documentation issues</t>
  </si>
  <si>
    <t>Work with vendors to resolve mappings, missingness, schedules, panel, and transmission defects and support retesting.</t>
  </si>
  <si>
    <t>Completed provider remediation evidence</t>
  </si>
  <si>
    <t>provider organization per cycle</t>
  </si>
  <si>
    <t>Clinical informaticist; data analyst</t>
  </si>
  <si>
    <t>Vendor product specialist</t>
  </si>
  <si>
    <t>WBS-04.09.01</t>
  </si>
  <si>
    <t>WBS-04.09</t>
  </si>
  <si>
    <t>Provider onboarding</t>
  </si>
  <si>
    <t>Complete legal, technical, operational, and support onboarding</t>
  </si>
  <si>
    <t>Provide contacts, inventory, agreements, rosters, credentials, support paths, and readiness evidence.</t>
  </si>
  <si>
    <t>Completed provider onboarding checklist</t>
  </si>
  <si>
    <t>Provider project team</t>
  </si>
  <si>
    <t>HCCN/HDU; vendor</t>
  </si>
  <si>
    <t>Project coordinator; privacy/security; clinical informaticist</t>
  </si>
  <si>
    <t>HCCN/HDU onboarding lead</t>
  </si>
  <si>
    <t>WBS-04.10.01</t>
  </si>
  <si>
    <t>WBS-04.10</t>
  </si>
  <si>
    <t>Provider staff training</t>
  </si>
  <si>
    <t>Train source, clinical, and support contacts</t>
  </si>
  <si>
    <t>Participate in training on data responsibilities, trust diagnostics, remediation, incidents, and evaluation evidence.</t>
  </si>
  <si>
    <t>Provider training completion records</t>
  </si>
  <si>
    <t>HCCN/HDU trainer</t>
  </si>
  <si>
    <t>Clinical informaticist; support contact</t>
  </si>
  <si>
    <t>WBS-04.11.01</t>
  </si>
  <si>
    <t>WBS-04.11</t>
  </si>
  <si>
    <t>Source operations and incident response</t>
  </si>
  <si>
    <t>Maintain source jobs and resolve operational issues</t>
  </si>
  <si>
    <t>Monitor source-side processes, maintain credentials, respond to incidents, and support data-quality investigations.</t>
  </si>
  <si>
    <t>Provider operational support and incident records</t>
  </si>
  <si>
    <t>Provider IT/support team</t>
  </si>
  <si>
    <t>provider organization per month</t>
  </si>
  <si>
    <t>Help-desk analyst; clinical informaticist</t>
  </si>
  <si>
    <t>Provider operations lead</t>
  </si>
  <si>
    <t>WBS-04.12.01</t>
  </si>
  <si>
    <t>WBS-04.12</t>
  </si>
  <si>
    <t>Clinical/data-quality investigation support</t>
  </si>
  <si>
    <t>Review source-specific quality and plausibility issues</t>
  </si>
  <si>
    <t>Participate in recurring investigation of missingness, clinical plausibility, panel changes, and measure discrepancies.</t>
  </si>
  <si>
    <t>Resolved or documented data-quality issues</t>
  </si>
  <si>
    <t>Data analyst; provider IT lead</t>
  </si>
  <si>
    <t>Vendor specialist as needed</t>
  </si>
  <si>
    <t>HCCN/HDU data-quality lead</t>
  </si>
  <si>
    <t>A47; A71</t>
  </si>
  <si>
    <t>WBS-04.13.01</t>
  </si>
  <si>
    <t>WBS-04.13</t>
  </si>
  <si>
    <t>Provider evaluation participation</t>
  </si>
  <si>
    <t>Provide effort, burden, workflow, and utility evidence</t>
  </si>
  <si>
    <t>Participate in interviews, submit effort and support data, validate lessons, and identify scaling implications.</t>
  </si>
  <si>
    <t>Provider evaluation evidence and feedback</t>
  </si>
  <si>
    <t>Provider project and clinical teams</t>
  </si>
  <si>
    <t>HCCN/HDU evaluator</t>
  </si>
  <si>
    <t>provider organization per evaluation cycle</t>
  </si>
  <si>
    <t>Clinical informaticist; finance analyst; provider IT lead</t>
  </si>
  <si>
    <t>WBS-04.14.01</t>
  </si>
  <si>
    <t>WBS-04.14</t>
  </si>
  <si>
    <t>Provider closeout</t>
  </si>
  <si>
    <t>Complete access, data, contract, and operational closeout</t>
  </si>
  <si>
    <t>Confirm final data handling, access termination or transition, outstanding issue ownership, and final invoicing.</t>
  </si>
  <si>
    <t>Provider closeout confirmation</t>
  </si>
  <si>
    <t>Provider project/legal/IT teams</t>
  </si>
  <si>
    <t>Legal counsel; privacy specialist; provider IT lead</t>
  </si>
  <si>
    <t>A66; A78</t>
  </si>
  <si>
    <t>Optional Add-Ons and Sensitivity Packages</t>
  </si>
  <si>
    <t>Add-On</t>
  </si>
  <si>
    <t>Incremental WBS Activities</t>
  </si>
  <si>
    <t>Organizations Affected</t>
  </si>
  <si>
    <t>Formula Structure</t>
  </si>
  <si>
    <t>Scaling Variables</t>
  </si>
  <si>
    <t>Benchmark / Estimating Method</t>
  </si>
  <si>
    <t>Exclusions / Risks</t>
  </si>
  <si>
    <t>Active?</t>
  </si>
  <si>
    <t>Applicable Scenario(s)</t>
  </si>
  <si>
    <t>Low Labor</t>
  </si>
  <si>
    <t>Base Labor</t>
  </si>
  <si>
    <t>High Labor</t>
  </si>
  <si>
    <t>Low Non-Labor</t>
  </si>
  <si>
    <t>Base Non-Labor</t>
  </si>
  <si>
    <t>High Non-Labor</t>
  </si>
  <si>
    <t>Low Incremental Total</t>
  </si>
  <si>
    <t>Base Incremental Total</t>
  </si>
  <si>
    <t>High Incremental Total</t>
  </si>
  <si>
    <t>UDS+ interface and support</t>
  </si>
  <si>
    <t>Requirements/mapping; HRSA authentication; interface configuration; test submission; error remediation; operating support</t>
  </si>
  <si>
    <t>HCCN; FQHCs; HIE/HDU where applicable</t>
  </si>
  <si>
    <t>Fixed hours + interface × hours per interface + monthly support × months + vendor fees</t>
  </si>
  <si>
    <t>1 interface; FQHC count; test cycles; operating months</t>
  </si>
  <si>
    <t>Vendor quote; bounded UDS+ implementation analogue</t>
  </si>
  <si>
    <t>Current UDS+ IG; HRSA test environment; FQHC attribution; agreements</t>
  </si>
  <si>
    <t>Excludes HRSA federal effort and long-term operations</t>
  </si>
  <si>
    <t>No</t>
  </si>
  <si>
    <t>All</t>
  </si>
  <si>
    <t>Provisional — bounded component</t>
  </si>
  <si>
    <t>Quote required</t>
  </si>
  <si>
    <t>Workflow confirmation; data-element mapping; marginal platform configuration; test referral/status exchange; analytic and evaluation updates</t>
  </si>
  <si>
    <t>PHA; intermediary; providers; referral platform/CBO</t>
  </si>
  <si>
    <t>Fixed workflow effort + participants × onboarding hours + interface/configuration fee</t>
  </si>
  <si>
    <t>Referral organizations; workflows; test cycles</t>
  </si>
  <si>
    <t>Bottom-up labor; vendor quote; component analogue</t>
  </si>
  <si>
    <t>Existing platform, agreements, consent-aware workflow, participating referral recipient</t>
  </si>
  <si>
    <t>Excludes new referral infrastructure or broad consent-management implementation</t>
  </si>
  <si>
    <t>Decision required</t>
  </si>
  <si>
    <t>New MedicationDispense connection</t>
  </si>
  <si>
    <t>Data-source agreement; pharmacy/payer interface; mapping; matching; testing; trust rules; operations</t>
  </si>
  <si>
    <t>Intermediary; PHA; providers; pharmacy/payer source</t>
  </si>
  <si>
    <t>Fixed source onboarding + interface × hours + monthly fee × months</t>
  </si>
  <si>
    <t>1 new data source/interface; operating months; transaction fees</t>
  </si>
  <si>
    <t>Vendor quote; public interface fee; bottom-up labor</t>
  </si>
  <si>
    <t>Data owner participation, legal authority, matching method</t>
  </si>
  <si>
    <t>Excluded from base; may materially alter schedule</t>
  </si>
  <si>
    <t>Provisional — vendor quote needed</t>
  </si>
  <si>
    <t>Agreement; onboarding; source review; configuration; testing; remediation; training; operations; evaluation</t>
  </si>
  <si>
    <t>PHA; intermediary/HCCN; added provider; vendor</t>
  </si>
  <si>
    <t>Organization × hours per organization + source/interface increment where unique</t>
  </si>
  <si>
    <t>Provider count; source configurations; interfaces; operating months</t>
  </si>
  <si>
    <t>Parametric estimate using PROV WBS and interface units</t>
  </si>
  <si>
    <t>Existing connectivity and vendor availability</t>
  </si>
  <si>
    <t>Does not include new source configuration unless separately triggered</t>
  </si>
  <si>
    <t>Provisional — parametric</t>
  </si>
  <si>
    <t>Participation amendment; member onboarding; panel validation; training; operations; evaluation</t>
  </si>
  <si>
    <t>HCCN; added FQHC; vendor; PHA/HDU</t>
  </si>
  <si>
    <t>FQHCs × hours per FQHC + marginal support × months</t>
  </si>
  <si>
    <t>FQHC count; training cohorts; operations months</t>
  </si>
  <si>
    <t>Parametric estimate using HCCN and PROV WBS</t>
  </si>
  <si>
    <t>Same HCCN and existing shared vendor pattern</t>
  </si>
  <si>
    <t>If a new vendor pattern is introduced, also apply ADD-06</t>
  </si>
  <si>
    <t>Pending HCCN validation</t>
  </si>
  <si>
    <t>Mapping assessment; interface/configuration; trust rules; testing; baseline; remediation; support</t>
  </si>
  <si>
    <t>Intermediary/HCCN; affected providers; vendor</t>
  </si>
  <si>
    <t>Source configurations × hours per configuration + cycles × hours per configuration</t>
  </si>
  <si>
    <t>Source configuration count; remediation cycles</t>
  </si>
  <si>
    <t>Parametric estimate; vendor quote</t>
  </si>
  <si>
    <t>Endpoint and vendor documentation</t>
  </si>
  <si>
    <t>May also add a production interface</t>
  </si>
  <si>
    <t>Architecture delta; connection/security setup; configuration; testing; monitoring; recurring support</t>
  </si>
  <si>
    <t>Intermediary/HCCN; provider/vendor; PHA if recipient interface</t>
  </si>
  <si>
    <t>Interfaces × setup hours + monthly fee × months</t>
  </si>
  <si>
    <t>Interface count; environments; operations months</t>
  </si>
  <si>
    <t>Vendor quote; bounded interface analogue</t>
  </si>
  <si>
    <t>Existing endpoint and data-use authority</t>
  </si>
  <si>
    <t>Separate from source mapping where the same configuration is reused</t>
  </si>
  <si>
    <t>Defect triage; participant/vendor coordination; corrections; reprocessing; retesting; reporting</t>
  </si>
  <si>
    <t>Intermediary/HCCN; providers; vendors; PHA</t>
  </si>
  <si>
    <t>Source configurations × additional cycles × hours per cycle + vendor fees</t>
  </si>
  <si>
    <t>Source configurations; added cycles</t>
  </si>
  <si>
    <t>Parametric estimate based on base remediation WBS</t>
  </si>
  <si>
    <t>Baseline severity and vendor availability</t>
  </si>
  <si>
    <t>Do not duplicate defects covered by fixed-fee vendor implementation</t>
  </si>
  <si>
    <t>Pending baseline</t>
  </si>
  <si>
    <t>Reduce recurring operations, support, reporting, and evaluation cycles; preserve fixed implementation cost</t>
  </si>
  <si>
    <t>All funded organizations</t>
  </si>
  <si>
    <t>Monthly run-rate × 6 instead of × 9</t>
  </si>
  <si>
    <t>Operations months; reporting cycles; evaluation cycles</t>
  </si>
  <si>
    <t>Approved evaluation plan and revised schedule</t>
  </si>
  <si>
    <t>Not a simple 33% reduction of total project cost because fixed costs remain</t>
  </si>
  <si>
    <t>Security plan; control evidence; assessment coordination; remediation; authorization package</t>
  </si>
  <si>
    <t>PHA; intermediary/HCCN; providers/vendors as needed</t>
  </si>
  <si>
    <t>Fixed authorization effort + systems × evidence hours + external assessment fee</t>
  </si>
  <si>
    <t>Systems; environments; findings/remediation cycles</t>
  </si>
  <si>
    <t>Vendor quote; bottom-up security labor</t>
  </si>
  <si>
    <t>Security authority requirements and environment inventory</t>
  </si>
  <si>
    <t>Excluded from base standard connection review</t>
  </si>
  <si>
    <t>Security decision required</t>
  </si>
  <si>
    <t>Provision environment; deploy/configure; security review; testing; backup/monitoring; recurring licenses</t>
  </si>
  <si>
    <t>PHA; intermediary/HCCN</t>
  </si>
  <si>
    <t>Environments × setup hours + monthly cloud/license fee × months</t>
  </si>
  <si>
    <t>Environment count; license units; months</t>
  </si>
  <si>
    <t>Public rate schedule; vendor quote; cloud calculator</t>
  </si>
  <si>
    <t>Architecture, security requirements, licensing terms</t>
  </si>
  <si>
    <t>Avoid allocating sunk enterprise costs unless full-economic-cost view is requested</t>
  </si>
  <si>
    <t>Technical validation required</t>
  </si>
  <si>
    <t>Additional readiness sessions; documentation support; hands-on mapping/testing; repeated training</t>
  </si>
  <si>
    <t>PHA; intermediary/HCCN; providers</t>
  </si>
  <si>
    <t>Organizations × additional TA hours per organization</t>
  </si>
  <si>
    <t>Organizations; TA intensity; months</t>
  </si>
  <si>
    <t>Bottom-up labor; historical internal estimate</t>
  </si>
  <si>
    <t>Specific gap-resolution plan</t>
  </si>
  <si>
    <t>Does not include net-new platform development</t>
  </si>
  <si>
    <t>Provisional — bottom-up</t>
  </si>
  <si>
    <t>Readiness validation required</t>
  </si>
  <si>
    <t>Model Assumptions and Inputs</t>
  </si>
  <si>
    <t>Component</t>
  </si>
  <si>
    <t>Base Increment</t>
  </si>
  <si>
    <t>Included only when UDS+ is in charter and no adequate pathway exists</t>
  </si>
  <si>
    <t>Requires an operational referral platform and governance model</t>
  </si>
  <si>
    <t>Required only when broad scope needs dispensing data not already available</t>
  </si>
  <si>
    <t>Required by PHA/intermediary security authority</t>
  </si>
  <si>
    <t>Key Estimate Caveats</t>
  </si>
  <si>
    <t>Planning estimate</t>
  </si>
  <si>
    <t>This model is intended for comparison and planning, not as a vendor quote or procurement commitment.</t>
  </si>
  <si>
    <t>Existing-platform reuse</t>
  </si>
  <si>
    <t>Base scope assumes existing exchange, matching, trust, de-identification, monitoring, and analytics capabilities are configured rather than rebuilt.</t>
  </si>
  <si>
    <t>Rates and indirects</t>
  </si>
  <si>
    <t>Labor rates, vendor fees, and participant indirect rates remain provisional and require validation.</t>
  </si>
  <si>
    <t>Excluded costs</t>
  </si>
  <si>
    <t>NP/prime administration, independent evaluation, pre-award chartering, and post-pilot operations are excluded.</t>
  </si>
  <si>
    <t>Add-on treatment</t>
  </si>
  <si>
    <t>Ordinary scale variables are handled through inputs; only ADD-01, ADD-02, ADD-03, and ADD-10 remain separate optional components.</t>
  </si>
  <si>
    <t>Optional Components</t>
  </si>
  <si>
    <t>Select the target scenario (intermediary model and dataset scope) on the "Scenario Definitions" sheet.</t>
  </si>
  <si>
    <t>Adjust cost-sensitive quantities and assumptions on  the "Assumptions &amp; Inputs"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</si>
</sst>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0.0%"/>
    <numFmt numFmtId="166" formatCode="\$#,##0;[Red]\(\$#,##0\);\-"/>
    <numFmt numFmtId="167" formatCode="&quot;$&quot;#,##0"/>
    <numFmt numFmtId="168" formatCode="\$#,##0;[Red]&quot;($&quot;#,##0\);\-"/>
  </numFmts>
  <fonts count="18" x14ac:knownFonts="1">
    <font>
      <sz val="11"/>
      <color theme="1"/>
      <name val="Aptos Narrow"/>
    </font>
    <font>
      <b/>
      <sz val="11"/>
      <color rgb="FFFFFFFF"/>
      <name val="Aptos Narrow"/>
    </font>
    <font>
      <sz val="11"/>
      <color rgb="FF1F2937"/>
      <name val="Aptos Narrow"/>
    </font>
    <font>
      <b/>
      <sz val="11"/>
      <color rgb="FF1F2937"/>
      <name val="Aptos Narrow"/>
    </font>
    <font>
      <b/>
      <sz val="16"/>
      <color rgb="FFFFFFFF"/>
      <name val="Aptos Narrow"/>
    </font>
    <font>
      <i/>
      <sz val="11"/>
      <color rgb="FF4B5563"/>
      <name val="Aptos Narrow"/>
    </font>
    <font>
      <sz val="11"/>
      <color rgb="FF0000FF"/>
      <name val="Aptos Narrow"/>
    </font>
    <font>
      <sz val="11"/>
      <color rgb="FF000000"/>
      <name val="Aptos Narrow"/>
    </font>
    <font>
      <b/>
      <sz val="11"/>
      <color rgb="FF7F6000"/>
      <name val="Aptos Narrow"/>
    </font>
    <font>
      <i/>
      <sz val="11"/>
      <color rgb="FF7F6000"/>
      <name val="Aptos Narrow"/>
    </font>
    <font>
      <sz val="11"/>
      <color rgb="FF008000"/>
      <name val="Aptos Narrow"/>
    </font>
    <font>
      <sz val="11"/>
      <color theme="1"/>
      <name val="Aptos Narrow"/>
    </font>
    <font>
      <i/>
      <sz val="11"/>
      <name val="Aptos Narrow"/>
    </font>
    <font>
      <b/>
      <sz val="11"/>
      <color rgb="FFFFFFFF"/>
      <name val="Aptos Narrow"/>
      <family val="2"/>
    </font>
    <font>
      <sz val="11"/>
      <color rgb="FF1F2937"/>
      <name val="Aptos Narrow"/>
      <family val="2"/>
    </font>
    <font>
      <b/>
      <sz val="16"/>
      <color rgb="FFFFFFFF"/>
      <name val="Aptos Narrow"/>
      <family val="2"/>
    </font>
    <font>
      <sz val="11"/>
      <color indexed="8"/>
      <name val="Aptos Narrow"/>
      <family val="2"/>
    </font>
    <font>
      <b/>
      <sz val="11"/>
      <color indexed="8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3" tint="0.89996032593768116"/>
        <bgColor indexed="44"/>
      </patternFill>
    </fill>
    <fill>
      <patternFill patternType="solid">
        <fgColor theme="3" tint="0.2499465926084170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6" fillId="0" borderId="1"/>
  </cellStyleXfs>
  <cellXfs count="97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166" fontId="0" fillId="0" borderId="0" xfId="0" applyNumberFormat="1"/>
    <xf numFmtId="1" fontId="0" fillId="0" borderId="0" xfId="0" applyNumberFormat="1"/>
    <xf numFmtId="166" fontId="0" fillId="0" borderId="0" xfId="0" applyNumberFormat="1" applyAlignment="1">
      <alignment wrapText="1"/>
    </xf>
    <xf numFmtId="166" fontId="7" fillId="0" borderId="0" xfId="0" applyNumberFormat="1" applyFont="1" applyAlignment="1">
      <alignment vertical="top" wrapText="1"/>
    </xf>
    <xf numFmtId="0" fontId="3" fillId="5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165" fontId="6" fillId="8" borderId="0" xfId="0" applyNumberFormat="1" applyFont="1" applyFill="1" applyAlignment="1">
      <alignment vertical="top" wrapText="1"/>
    </xf>
    <xf numFmtId="164" fontId="6" fillId="8" borderId="0" xfId="0" applyNumberFormat="1" applyFont="1" applyFill="1" applyAlignment="1">
      <alignment vertical="top" wrapText="1"/>
    </xf>
    <xf numFmtId="167" fontId="11" fillId="0" borderId="1" xfId="0" applyNumberFormat="1" applyFont="1" applyBorder="1"/>
    <xf numFmtId="0" fontId="11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14" fillId="9" borderId="2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167" fontId="14" fillId="9" borderId="2" xfId="0" applyNumberFormat="1" applyFont="1" applyFill="1" applyBorder="1" applyAlignment="1">
      <alignment horizontal="center" vertical="center" wrapText="1"/>
    </xf>
    <xf numFmtId="167" fontId="14" fillId="9" borderId="3" xfId="0" applyNumberFormat="1" applyFont="1" applyFill="1" applyBorder="1" applyAlignment="1">
      <alignment horizontal="center" vertical="center" wrapText="1"/>
    </xf>
    <xf numFmtId="167" fontId="14" fillId="3" borderId="2" xfId="0" applyNumberFormat="1" applyFont="1" applyFill="1" applyBorder="1" applyAlignment="1">
      <alignment horizontal="center" vertical="center" wrapText="1"/>
    </xf>
    <xf numFmtId="167" fontId="14" fillId="3" borderId="3" xfId="0" applyNumberFormat="1" applyFont="1" applyFill="1" applyBorder="1" applyAlignment="1">
      <alignment horizontal="center" vertical="center" wrapText="1"/>
    </xf>
    <xf numFmtId="167" fontId="14" fillId="8" borderId="2" xfId="0" applyNumberFormat="1" applyFont="1" applyFill="1" applyBorder="1" applyAlignment="1">
      <alignment horizontal="center" vertical="center" wrapText="1"/>
    </xf>
    <xf numFmtId="167" fontId="14" fillId="8" borderId="3" xfId="0" applyNumberFormat="1" applyFont="1" applyFill="1" applyBorder="1" applyAlignment="1">
      <alignment horizontal="center" vertical="center" wrapText="1"/>
    </xf>
    <xf numFmtId="167" fontId="14" fillId="2" borderId="2" xfId="0" applyNumberFormat="1" applyFont="1" applyFill="1" applyBorder="1" applyAlignment="1">
      <alignment horizontal="center" vertical="center" wrapText="1"/>
    </xf>
    <xf numFmtId="167" fontId="14" fillId="2" borderId="3" xfId="0" applyNumberFormat="1" applyFont="1" applyFill="1" applyBorder="1" applyAlignment="1">
      <alignment horizontal="center" vertical="center" wrapText="1"/>
    </xf>
    <xf numFmtId="167" fontId="14" fillId="9" borderId="4" xfId="0" applyNumberFormat="1" applyFont="1" applyFill="1" applyBorder="1" applyAlignment="1">
      <alignment horizontal="center" vertical="center" wrapText="1"/>
    </xf>
    <xf numFmtId="167" fontId="14" fillId="3" borderId="4" xfId="0" applyNumberFormat="1" applyFont="1" applyFill="1" applyBorder="1" applyAlignment="1">
      <alignment horizontal="center" vertical="center" wrapText="1"/>
    </xf>
    <xf numFmtId="167" fontId="14" fillId="8" borderId="4" xfId="0" applyNumberFormat="1" applyFont="1" applyFill="1" applyBorder="1" applyAlignment="1">
      <alignment horizontal="center" vertical="center" wrapText="1"/>
    </xf>
    <xf numFmtId="167" fontId="14" fillId="2" borderId="4" xfId="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wrapText="1"/>
    </xf>
    <xf numFmtId="166" fontId="2" fillId="0" borderId="1" xfId="0" applyNumberFormat="1" applyFont="1" applyBorder="1" applyAlignment="1">
      <alignment vertical="top" wrapText="1"/>
    </xf>
    <xf numFmtId="0" fontId="6" fillId="8" borderId="0" xfId="0" applyFont="1" applyFill="1" applyAlignment="1">
      <alignment vertical="top"/>
    </xf>
    <xf numFmtId="0" fontId="2" fillId="9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 wrapText="1"/>
    </xf>
    <xf numFmtId="0" fontId="9" fillId="8" borderId="0" xfId="0" applyFont="1" applyFill="1"/>
    <xf numFmtId="164" fontId="10" fillId="8" borderId="0" xfId="0" applyNumberFormat="1" applyFont="1" applyFill="1" applyAlignment="1">
      <alignment vertical="top" wrapText="1"/>
    </xf>
    <xf numFmtId="0" fontId="1" fillId="4" borderId="0" xfId="0" applyFont="1" applyFill="1" applyAlignment="1">
      <alignment vertical="center"/>
    </xf>
    <xf numFmtId="166" fontId="6" fillId="8" borderId="0" xfId="0" applyNumberFormat="1" applyFont="1" applyFill="1" applyAlignment="1">
      <alignment vertical="top" wrapText="1"/>
    </xf>
    <xf numFmtId="0" fontId="6" fillId="8" borderId="0" xfId="0" applyFont="1" applyFill="1" applyAlignment="1">
      <alignment vertical="top" wrapText="1"/>
    </xf>
    <xf numFmtId="166" fontId="6" fillId="8" borderId="0" xfId="0" applyNumberFormat="1" applyFont="1" applyFill="1" applyAlignment="1">
      <alignment vertical="top"/>
    </xf>
    <xf numFmtId="165" fontId="6" fillId="8" borderId="0" xfId="0" applyNumberFormat="1" applyFont="1" applyFill="1" applyAlignment="1">
      <alignment vertical="top"/>
    </xf>
    <xf numFmtId="0" fontId="4" fillId="7" borderId="0" xfId="0" applyFont="1" applyFill="1" applyAlignment="1">
      <alignment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0" xfId="0" applyFont="1" applyFill="1"/>
    <xf numFmtId="0" fontId="4" fillId="7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vertical="top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0" fontId="1" fillId="4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166" fontId="1" fillId="4" borderId="0" xfId="0" applyNumberFormat="1" applyFont="1" applyFill="1" applyAlignment="1">
      <alignment horizontal="left" vertical="center" wrapText="1"/>
    </xf>
    <xf numFmtId="0" fontId="4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8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5" fillId="7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6" fillId="0" borderId="1" xfId="1" applyAlignment="1">
      <alignment wrapText="1"/>
    </xf>
    <xf numFmtId="168" fontId="16" fillId="0" borderId="1" xfId="1" applyNumberForma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7" fillId="11" borderId="1" xfId="1" applyFont="1" applyFill="1" applyAlignment="1">
      <alignment wrapText="1"/>
    </xf>
    <xf numFmtId="0" fontId="16" fillId="0" borderId="1" xfId="1" applyAlignment="1">
      <alignment vertical="center" wrapText="1"/>
    </xf>
    <xf numFmtId="168" fontId="16" fillId="0" borderId="1" xfId="1" applyNumberFormat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3" fillId="12" borderId="0" xfId="0" applyFont="1" applyFill="1" applyAlignment="1">
      <alignment vertical="center" wrapText="1"/>
    </xf>
  </cellXfs>
  <cellStyles count="2">
    <cellStyle name="Normal" xfId="0" builtinId="0"/>
    <cellStyle name="Normal 2" xfId="1" xr:uid="{D45850E8-50F2-4A6F-A5F5-82A56397ECCB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 Narrow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Cost by Organization — Low and Base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Summary'!$C$42</c:f>
              <c:strCache>
                <c:ptCount val="1"/>
                <c:pt idx="0">
                  <c:v>Low</c:v>
                </c:pt>
              </c:strCache>
            </c:strRef>
          </c:tx>
          <c:invertIfNegative val="1"/>
          <c:cat>
            <c:strRef>
              <c:f>'Executive Summary'!$B$43:$B$46</c:f>
              <c:strCache>
                <c:ptCount val="4"/>
                <c:pt idx="0">
                  <c:v>State PHA</c:v>
                </c:pt>
                <c:pt idx="1">
                  <c:v>HIE/HDU Intermediary</c:v>
                </c:pt>
                <c:pt idx="2">
                  <c:v>HCCN</c:v>
                </c:pt>
                <c:pt idx="3">
                  <c:v>Healthcare Organizations &amp; FQHCs</c:v>
                </c:pt>
              </c:strCache>
            </c:strRef>
          </c:cat>
          <c:val>
            <c:numRef>
              <c:f>'Executive Summary'!$C$43:$C$46</c:f>
              <c:numCache>
                <c:formatCode>\$#,##0;[Red]\(\$#,##0\);\-</c:formatCode>
                <c:ptCount val="4"/>
                <c:pt idx="0">
                  <c:v>212139.9</c:v>
                </c:pt>
                <c:pt idx="1">
                  <c:v>788159.4</c:v>
                </c:pt>
                <c:pt idx="2">
                  <c:v>262464.22499999998</c:v>
                </c:pt>
                <c:pt idx="3">
                  <c:v>229614.75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4-4557-8716-20BB51298334}"/>
            </c:ext>
          </c:extLst>
        </c:ser>
        <c:ser>
          <c:idx val="1"/>
          <c:order val="1"/>
          <c:tx>
            <c:strRef>
              <c:f>'Executive Summary'!$D$42</c:f>
              <c:strCache>
                <c:ptCount val="1"/>
                <c:pt idx="0">
                  <c:v>Base</c:v>
                </c:pt>
              </c:strCache>
            </c:strRef>
          </c:tx>
          <c:invertIfNegative val="1"/>
          <c:cat>
            <c:strRef>
              <c:f>'Executive Summary'!$B$43:$B$46</c:f>
              <c:strCache>
                <c:ptCount val="4"/>
                <c:pt idx="0">
                  <c:v>State PHA</c:v>
                </c:pt>
                <c:pt idx="1">
                  <c:v>HIE/HDU Intermediary</c:v>
                </c:pt>
                <c:pt idx="2">
                  <c:v>HCCN</c:v>
                </c:pt>
                <c:pt idx="3">
                  <c:v>Healthcare Organizations &amp; FQHCs</c:v>
                </c:pt>
              </c:strCache>
            </c:strRef>
          </c:cat>
          <c:val>
            <c:numRef>
              <c:f>'Executive Summary'!$D$43:$D$46</c:f>
              <c:numCache>
                <c:formatCode>\$#,##0;[Red]\(\$#,##0\);\-</c:formatCode>
                <c:ptCount val="4"/>
                <c:pt idx="0">
                  <c:v>375621.1</c:v>
                </c:pt>
                <c:pt idx="1">
                  <c:v>1523946.9</c:v>
                </c:pt>
                <c:pt idx="2">
                  <c:v>578428.5</c:v>
                </c:pt>
                <c:pt idx="3">
                  <c:v>616279.85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4-4557-8716-20BB51298334}"/>
            </c:ext>
          </c:extLst>
        </c:ser>
        <c:ser>
          <c:idx val="2"/>
          <c:order val="2"/>
          <c:tx>
            <c:strRef>
              <c:f>'Executive Summary'!$E$42</c:f>
              <c:strCache>
                <c:ptCount val="1"/>
                <c:pt idx="0">
                  <c:v>High</c:v>
                </c:pt>
              </c:strCache>
            </c:strRef>
          </c:tx>
          <c:invertIfNegative val="0"/>
          <c:cat>
            <c:strRef>
              <c:f>'Executive Summary'!$B$43:$B$46</c:f>
              <c:strCache>
                <c:ptCount val="4"/>
                <c:pt idx="0">
                  <c:v>State PHA</c:v>
                </c:pt>
                <c:pt idx="1">
                  <c:v>HIE/HDU Intermediary</c:v>
                </c:pt>
                <c:pt idx="2">
                  <c:v>HCCN</c:v>
                </c:pt>
                <c:pt idx="3">
                  <c:v>Healthcare Organizations &amp; FQHCs</c:v>
                </c:pt>
              </c:strCache>
            </c:strRef>
          </c:cat>
          <c:val>
            <c:numRef>
              <c:f>'Executive Summary'!$E$43:$E$46</c:f>
              <c:numCache>
                <c:formatCode>\$#,##0;[Red]\(\$#,##0\);\-</c:formatCode>
                <c:ptCount val="4"/>
                <c:pt idx="0">
                  <c:v>927010.2</c:v>
                </c:pt>
                <c:pt idx="1">
                  <c:v>3568234</c:v>
                </c:pt>
                <c:pt idx="2">
                  <c:v>1484093.4500000002</c:v>
                </c:pt>
                <c:pt idx="3">
                  <c:v>2049151.9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5-42F9-97B7-1F66A54A3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Cost by Lifecycle Workstream — Low and Base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Summary'!$C$48</c:f>
              <c:strCache>
                <c:ptCount val="1"/>
                <c:pt idx="0">
                  <c:v>Low</c:v>
                </c:pt>
              </c:strCache>
            </c:strRef>
          </c:tx>
          <c:invertIfNegative val="1"/>
          <c:cat>
            <c:strRef>
              <c:f>'Executive Summary'!$B$49:$B$56</c:f>
              <c:strCache>
                <c:ptCount val="8"/>
                <c:pt idx="0">
                  <c:v>Implementation management</c:v>
                </c:pt>
                <c:pt idx="1">
                  <c:v>Governance, legal, privacy, and security</c:v>
                </c:pt>
                <c:pt idx="2">
                  <c:v>Data specification and mapping</c:v>
                </c:pt>
                <c:pt idx="3">
                  <c:v>Configuration and integration</c:v>
                </c:pt>
                <c:pt idx="4">
                  <c:v>Testing and remediation</c:v>
                </c:pt>
                <c:pt idx="5">
                  <c:v>Onboarding and training</c:v>
                </c:pt>
                <c:pt idx="6">
                  <c:v>Pilot operations and support</c:v>
                </c:pt>
                <c:pt idx="7">
                  <c:v>Evaluation, playbook, and closeout</c:v>
                </c:pt>
              </c:strCache>
            </c:strRef>
          </c:cat>
          <c:val>
            <c:numRef>
              <c:f>'Executive Summary'!$C$49:$C$56</c:f>
              <c:numCache>
                <c:formatCode>\$#,##0;[Red]\(\$#,##0\);\-</c:formatCode>
                <c:ptCount val="8"/>
                <c:pt idx="0">
                  <c:v>202089</c:v>
                </c:pt>
                <c:pt idx="1">
                  <c:v>150347.4</c:v>
                </c:pt>
                <c:pt idx="2">
                  <c:v>92238.074999999997</c:v>
                </c:pt>
                <c:pt idx="3">
                  <c:v>379185.15</c:v>
                </c:pt>
                <c:pt idx="4">
                  <c:v>149182.27499999999</c:v>
                </c:pt>
                <c:pt idx="5">
                  <c:v>45847.125</c:v>
                </c:pt>
                <c:pt idx="6">
                  <c:v>350442</c:v>
                </c:pt>
                <c:pt idx="7">
                  <c:v>123047.25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D-4CD0-BAA7-030A94BE9235}"/>
            </c:ext>
          </c:extLst>
        </c:ser>
        <c:ser>
          <c:idx val="1"/>
          <c:order val="1"/>
          <c:tx>
            <c:strRef>
              <c:f>'Executive Summary'!$D$48</c:f>
              <c:strCache>
                <c:ptCount val="1"/>
                <c:pt idx="0">
                  <c:v>Base</c:v>
                </c:pt>
              </c:strCache>
            </c:strRef>
          </c:tx>
          <c:invertIfNegative val="1"/>
          <c:cat>
            <c:strRef>
              <c:f>'Executive Summary'!$B$49:$B$56</c:f>
              <c:strCache>
                <c:ptCount val="8"/>
                <c:pt idx="0">
                  <c:v>Implementation management</c:v>
                </c:pt>
                <c:pt idx="1">
                  <c:v>Governance, legal, privacy, and security</c:v>
                </c:pt>
                <c:pt idx="2">
                  <c:v>Data specification and mapping</c:v>
                </c:pt>
                <c:pt idx="3">
                  <c:v>Configuration and integration</c:v>
                </c:pt>
                <c:pt idx="4">
                  <c:v>Testing and remediation</c:v>
                </c:pt>
                <c:pt idx="5">
                  <c:v>Onboarding and training</c:v>
                </c:pt>
                <c:pt idx="6">
                  <c:v>Pilot operations and support</c:v>
                </c:pt>
                <c:pt idx="7">
                  <c:v>Evaluation, playbook, and closeout</c:v>
                </c:pt>
              </c:strCache>
            </c:strRef>
          </c:cat>
          <c:val>
            <c:numRef>
              <c:f>'Executive Summary'!$D$49:$D$56</c:f>
              <c:numCache>
                <c:formatCode>\$#,##0;[Red]\(\$#,##0\);\-</c:formatCode>
                <c:ptCount val="8"/>
                <c:pt idx="0">
                  <c:v>303779</c:v>
                </c:pt>
                <c:pt idx="1">
                  <c:v>307886.69999999995</c:v>
                </c:pt>
                <c:pt idx="2">
                  <c:v>191686.25</c:v>
                </c:pt>
                <c:pt idx="3">
                  <c:v>734896.25</c:v>
                </c:pt>
                <c:pt idx="4">
                  <c:v>391268.39999999997</c:v>
                </c:pt>
                <c:pt idx="5">
                  <c:v>124268.5</c:v>
                </c:pt>
                <c:pt idx="6">
                  <c:v>774235.25</c:v>
                </c:pt>
                <c:pt idx="7">
                  <c:v>266256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D-4CD0-BAA7-030A94BE9235}"/>
            </c:ext>
          </c:extLst>
        </c:ser>
        <c:ser>
          <c:idx val="2"/>
          <c:order val="2"/>
          <c:tx>
            <c:strRef>
              <c:f>'Executive Summary'!$E$48</c:f>
              <c:strCache>
                <c:ptCount val="1"/>
                <c:pt idx="0">
                  <c:v>High</c:v>
                </c:pt>
              </c:strCache>
            </c:strRef>
          </c:tx>
          <c:invertIfNegative val="0"/>
          <c:cat>
            <c:strRef>
              <c:f>'Executive Summary'!$B$49:$B$56</c:f>
              <c:strCache>
                <c:ptCount val="8"/>
                <c:pt idx="0">
                  <c:v>Implementation management</c:v>
                </c:pt>
                <c:pt idx="1">
                  <c:v>Governance, legal, privacy, and security</c:v>
                </c:pt>
                <c:pt idx="2">
                  <c:v>Data specification and mapping</c:v>
                </c:pt>
                <c:pt idx="3">
                  <c:v>Configuration and integration</c:v>
                </c:pt>
                <c:pt idx="4">
                  <c:v>Testing and remediation</c:v>
                </c:pt>
                <c:pt idx="5">
                  <c:v>Onboarding and training</c:v>
                </c:pt>
                <c:pt idx="6">
                  <c:v>Pilot operations and support</c:v>
                </c:pt>
                <c:pt idx="7">
                  <c:v>Evaluation, playbook, and closeout</c:v>
                </c:pt>
              </c:strCache>
            </c:strRef>
          </c:cat>
          <c:val>
            <c:numRef>
              <c:f>'Executive Summary'!$E$49:$E$56</c:f>
              <c:numCache>
                <c:formatCode>\$#,##0;[Red]\(\$#,##0\);\-</c:formatCode>
                <c:ptCount val="8"/>
                <c:pt idx="0">
                  <c:v>610476</c:v>
                </c:pt>
                <c:pt idx="1">
                  <c:v>1106709.25</c:v>
                </c:pt>
                <c:pt idx="2">
                  <c:v>483784.3</c:v>
                </c:pt>
                <c:pt idx="3">
                  <c:v>1790295.9</c:v>
                </c:pt>
                <c:pt idx="4">
                  <c:v>1262982.1000000001</c:v>
                </c:pt>
                <c:pt idx="5">
                  <c:v>372939</c:v>
                </c:pt>
                <c:pt idx="6">
                  <c:v>1598622</c:v>
                </c:pt>
                <c:pt idx="7">
                  <c:v>802681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F-4930-888E-F634EE401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605630</xdr:colOff>
      <xdr:row>28</xdr:row>
      <xdr:rowOff>11907</xdr:rowOff>
    </xdr:from>
    <xdr:to>
      <xdr:col>11</xdr:col>
      <xdr:colOff>532605</xdr:colOff>
      <xdr:row>40</xdr:row>
      <xdr:rowOff>163514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605630</xdr:colOff>
      <xdr:row>41</xdr:row>
      <xdr:rowOff>163513</xdr:rowOff>
    </xdr:from>
    <xdr:to>
      <xdr:col>11</xdr:col>
      <xdr:colOff>532605</xdr:colOff>
      <xdr:row>55</xdr:row>
      <xdr:rowOff>158750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cenarioTable" displayName="ScenarioTable" ref="A7:I13">
  <tableColumns count="9">
    <tableColumn id="1" xr3:uid="{00000000-0010-0000-0000-000001000000}" name="Scenario ID"/>
    <tableColumn id="2" xr3:uid="{00000000-0010-0000-0000-000002000000}" name="Intermediary Model"/>
    <tableColumn id="3" xr3:uid="{00000000-0010-0000-0000-000003000000}" name="Provider Structure"/>
    <tableColumn id="4" xr3:uid="{00000000-0010-0000-0000-000004000000}" name="Dataset Scope"/>
    <tableColumn id="5" xr3:uid="{00000000-0010-0000-0000-000005000000}" name="Operations"/>
    <tableColumn id="6" xr3:uid="{00000000-0010-0000-0000-000006000000}" name="Key Distinction"/>
    <tableColumn id="8" xr3:uid="{00000000-0010-0000-0000-000008000000}" name="Low Total"/>
    <tableColumn id="9" xr3:uid="{00000000-0010-0000-0000-000009000000}" name="Base Total"/>
    <tableColumn id="10" xr3:uid="{00000000-0010-0000-0000-00000A000000}" name="High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AddOnTable" displayName="AddOnTable" ref="A18:I30">
  <autoFilter ref="A18:I30" xr:uid="{00000000-0009-0000-0100-00000A000000}"/>
  <tableColumns count="9">
    <tableColumn id="1" xr3:uid="{00000000-0010-0000-0100-000001000000}" name="Add-On ID"/>
    <tableColumn id="2" xr3:uid="{00000000-0010-0000-0100-000002000000}" name="Item"/>
    <tableColumn id="3" xr3:uid="{00000000-0010-0000-0100-000003000000}" name="Trigger"/>
    <tableColumn id="4" xr3:uid="{00000000-0010-0000-0100-000004000000}" name="Applies To"/>
    <tableColumn id="5" xr3:uid="{00000000-0010-0000-0100-000005000000}" name="Model Treatment"/>
    <tableColumn id="6" xr3:uid="{00000000-0010-0000-0100-000006000000}" name="Key Cost Driver"/>
    <tableColumn id="7" xr3:uid="{00000000-0010-0000-0100-000007000000}" name="Low Total"/>
    <tableColumn id="8" xr3:uid="{00000000-0010-0000-0100-000008000000}" name="Base Total"/>
    <tableColumn id="9" xr3:uid="{00000000-0010-0000-0100-000009000000}" name="High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ModelInputTable" displayName="ModelInputTable" ref="A30:G69">
  <autoFilter ref="A30:G69" xr:uid="{00000000-0009-0000-0100-00000B000000}"/>
  <tableColumns count="7">
    <tableColumn id="1" xr3:uid="{00000000-0010-0000-0300-000001000000}" name="Input ID"/>
    <tableColumn id="2" xr3:uid="{00000000-0010-0000-0300-000002000000}" name="Input"/>
    <tableColumn id="3" xr3:uid="{00000000-0010-0000-0300-000003000000}" name="Low"/>
    <tableColumn id="4" xr3:uid="{00000000-0010-0000-0300-000004000000}" name="Base"/>
    <tableColumn id="5" xr3:uid="{00000000-0010-0000-0300-000005000000}" name="High"/>
    <tableColumn id="6" xr3:uid="{00000000-0010-0000-0300-000006000000}" name="Unit"/>
    <tableColumn id="7" xr3:uid="{00000000-0010-0000-0300-000007000000}" name="Cost Model U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ModelingAssumptionTable" displayName="ModelingAssumptionTable" ref="A4:D16">
  <autoFilter ref="A4:D16" xr:uid="{00000000-0009-0000-0100-00000C000000}"/>
  <tableColumns count="4">
    <tableColumn id="1" xr3:uid="{00000000-0010-0000-0400-000001000000}" name="Assumption"/>
    <tableColumn id="2" xr3:uid="{00000000-0010-0000-0400-000002000000}" name="Status"/>
    <tableColumn id="3" xr3:uid="{00000000-0010-0000-0400-000003000000}" name="Cost Effect"/>
    <tableColumn id="4" xr3:uid="{00000000-0010-0000-0400-000004000000}" name="Trea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HighImpactItemTable" displayName="HighImpactItemTable" ref="A19:D25">
  <autoFilter ref="A19:D25" xr:uid="{00000000-0009-0000-0100-00000D000000}"/>
  <tableColumns count="4">
    <tableColumn id="1" xr3:uid="{00000000-0010-0000-0500-000001000000}" name="Item"/>
    <tableColumn id="2" xr3:uid="{00000000-0010-0000-0500-000002000000}" name="Provisional Assumption"/>
    <tableColumn id="3" xr3:uid="{00000000-0010-0000-0500-000003000000}" name="Risk if Different"/>
    <tableColumn id="4" xr3:uid="{00000000-0010-0000-0500-000004000000}" name="Model Handl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LaborRateTable" displayName="LaborRateTable" ref="A72:K100">
  <autoFilter ref="A72:K100" xr:uid="{00000000-0009-0000-0100-00000E000000}"/>
  <tableColumns count="11">
    <tableColumn id="1" xr3:uid="{00000000-0010-0000-0600-000001000000}" name="Rate ID"/>
    <tableColumn id="2" xr3:uid="{00000000-0010-0000-0600-000002000000}" name="Organization Group"/>
    <tableColumn id="3" xr3:uid="{00000000-0010-0000-0600-000003000000}" name="Rate Tier"/>
    <tableColumn id="4" xr3:uid="{00000000-0010-0000-0600-000004000000}" name="Rate Basis"/>
    <tableColumn id="5" xr3:uid="{00000000-0010-0000-0600-000005000000}" name="Direct Rate"/>
    <tableColumn id="6" xr3:uid="{00000000-0010-0000-0600-000006000000}" name="Fringe"/>
    <tableColumn id="7" xr3:uid="{00000000-0010-0000-0600-000007000000}" name="Overhead/G&amp;A"/>
    <tableColumn id="8" xr3:uid="{00000000-0010-0000-0600-000008000000}" name="Fee"/>
    <tableColumn id="9" xr3:uid="{00000000-0010-0000-0600-000009000000}" name="Fully Loaded Rate"/>
    <tableColumn id="10" xr3:uid="{00000000-0010-0000-0600-00000A000000}" name="Dollar Year"/>
    <tableColumn id="11" xr3:uid="{00000000-0010-0000-0600-00000B000000}" name="Confid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IndirectRateTable" displayName="IndirectRateTable" ref="A103:E107">
  <autoFilter ref="A103:E107" xr:uid="{00000000-0009-0000-0100-00000F000000}"/>
  <tableColumns count="5">
    <tableColumn id="1" xr3:uid="{00000000-0010-0000-0700-000001000000}" name="Organization Group"/>
    <tableColumn id="2" xr3:uid="{00000000-0010-0000-0700-000002000000}" name="Indirect Rate"/>
    <tableColumn id="3" xr3:uid="{00000000-0010-0000-0700-000003000000}" name="Basis"/>
    <tableColumn id="4" xr3:uid="{00000000-0010-0000-0700-000004000000}" name="Confidence"/>
    <tableColumn id="5" xr3:uid="{00000000-0010-0000-0700-000005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A000000}" name="CostableActivitiesTable" displayName="CostableActivitiesTable" ref="A4:AD77">
  <tableColumns count="30">
    <tableColumn id="1" xr3:uid="{00000000-0010-0000-0A00-000001000000}" name="WBS ID"/>
    <tableColumn id="2" xr3:uid="{00000000-0010-0000-0A00-000002000000}" name="Parent WBS ID"/>
    <tableColumn id="3" xr3:uid="{00000000-0010-0000-0A00-000003000000}" name="Organization Group" dataDxfId="27"/>
    <tableColumn id="4" xr3:uid="{00000000-0010-0000-0A00-000004000000}" name="Lifecycle Workstream" dataDxfId="26"/>
    <tableColumn id="5" xr3:uid="{00000000-0010-0000-0A00-000005000000}" name="Work Package" dataDxfId="25"/>
    <tableColumn id="6" xr3:uid="{00000000-0010-0000-0A00-000006000000}" name="Costable Activity" dataDxfId="24"/>
    <tableColumn id="7" xr3:uid="{00000000-0010-0000-0A00-000007000000}" name="Description" dataDxfId="23"/>
    <tableColumn id="8" xr3:uid="{00000000-0010-0000-0A00-000008000000}" name="Output or Completion Condition" dataDxfId="22"/>
    <tableColumn id="9" xr3:uid="{00000000-0010-0000-0A00-000009000000}" name="Accountable Organization" dataDxfId="21"/>
    <tableColumn id="10" xr3:uid="{00000000-0010-0000-0A00-00000A000000}" name="Performing Party" dataDxfId="20"/>
    <tableColumn id="11" xr3:uid="{00000000-0010-0000-0A00-00000B000000}" name="Supporting Parties" dataDxfId="19"/>
    <tableColumn id="12" xr3:uid="{00000000-0010-0000-0A00-00000C000000}" name="Cost-Bearing Party" dataDxfId="18"/>
    <tableColumn id="13" xr3:uid="{00000000-0010-0000-0A00-00000D000000}" name="Funded or In Kind" dataDxfId="17"/>
    <tableColumn id="14" xr3:uid="{00000000-0010-0000-0A00-00000E000000}" name="Scenario Applicability" dataDxfId="16"/>
    <tableColumn id="15" xr3:uid="{00000000-0010-0000-0A00-00000F000000}" name="Cost Model Treatment" dataDxfId="15"/>
    <tableColumn id="16" xr3:uid="{00000000-0010-0000-0A00-000010000000}" name="Scaling Classification" dataDxfId="14"/>
    <tableColumn id="17" xr3:uid="{00000000-0010-0000-0A00-000011000000}" name="Scaling Unit" dataDxfId="13"/>
    <tableColumn id="18" xr3:uid="{00000000-0010-0000-0A00-000012000000}" name="Quantity Input ID" dataDxfId="12"/>
    <tableColumn id="19" xr3:uid="{00000000-0010-0000-0A00-000013000000}" name="Formula Type" dataDxfId="11"/>
    <tableColumn id="20" xr3:uid="{00000000-0010-0000-0A00-000014000000}" name="Lead Labor Category" dataDxfId="10"/>
    <tableColumn id="21" xr3:uid="{00000000-0010-0000-0A00-000015000000}" name="Supporting Labor Categories" dataDxfId="9"/>
    <tableColumn id="22" xr3:uid="{00000000-0010-0000-0A00-000016000000}" name="Participant Labor" dataDxfId="8"/>
    <tableColumn id="23" xr3:uid="{00000000-0010-0000-0A00-000017000000}" name="Vendor Labor" dataDxfId="7"/>
    <tableColumn id="24" xr3:uid="{00000000-0010-0000-0A00-000018000000}" name="Reviewer or Approver" dataDxfId="6"/>
    <tableColumn id="25" xr3:uid="{00000000-0010-0000-0A00-000019000000}" name="Non-Labor Inputs" dataDxfId="5"/>
    <tableColumn id="26" xr3:uid="{00000000-0010-0000-0A00-00001A000000}" name="Estimating Method" dataDxfId="4"/>
    <tableColumn id="27" xr3:uid="{00000000-0010-0000-0A00-00001B000000}" name="Benchmark ID" dataDxfId="3"/>
    <tableColumn id="28" xr3:uid="{00000000-0010-0000-0A00-00001C000000}" name="Complexity Level" dataDxfId="2"/>
    <tableColumn id="29" xr3:uid="{00000000-0010-0000-0A00-00001D000000}" name="Assumption IDs" dataDxfId="1"/>
    <tableColumn id="30" xr3:uid="{00000000-0010-0000-0A00-00001E000000}" name="Risk IDs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OptionalAddOnsBuildupTable" displayName="OptionalAddOnsBuildupTable" ref="A4:J16">
  <tableColumns count="10">
    <tableColumn id="1" xr3:uid="{00000000-0010-0000-0B00-000001000000}" name="Add-On ID"/>
    <tableColumn id="2" xr3:uid="{00000000-0010-0000-0B00-000002000000}" name="Add-On"/>
    <tableColumn id="3" xr3:uid="{00000000-0010-0000-0B00-000003000000}" name="Trigger"/>
    <tableColumn id="4" xr3:uid="{00000000-0010-0000-0B00-000004000000}" name="Incremental WBS Activities"/>
    <tableColumn id="5" xr3:uid="{00000000-0010-0000-0B00-000005000000}" name="Organizations Affected"/>
    <tableColumn id="6" xr3:uid="{00000000-0010-0000-0B00-000006000000}" name="Formula Structure"/>
    <tableColumn id="7" xr3:uid="{00000000-0010-0000-0B00-000007000000}" name="Scaling Variables"/>
    <tableColumn id="8" xr3:uid="{00000000-0010-0000-0B00-000008000000}" name="Benchmark / Estimating Method"/>
    <tableColumn id="9" xr3:uid="{00000000-0010-0000-0B00-000009000000}" name="Dependencies"/>
    <tableColumn id="10" xr3:uid="{00000000-0010-0000-0B00-00000A000000}" name="Exclusions / Ris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tabSelected="1" topLeftCell="A48" workbookViewId="0">
      <selection activeCell="C30" sqref="C30"/>
    </sheetView>
  </sheetViews>
  <sheetFormatPr defaultRowHeight="14.5" x14ac:dyDescent="0.35"/>
  <cols>
    <col min="1" max="1" width="20" customWidth="1"/>
    <col min="2" max="2" width="40" customWidth="1"/>
    <col min="3" max="3" width="10.453125" customWidth="1"/>
    <col min="4" max="4" width="20" customWidth="1"/>
    <col min="5" max="5" width="28" customWidth="1"/>
    <col min="6" max="8" width="18" customWidth="1"/>
    <col min="9" max="9" width="3" customWidth="1"/>
    <col min="10" max="10" width="40" customWidth="1"/>
    <col min="11" max="14" width="16" customWidth="1"/>
    <col min="15" max="22" width="14" customWidth="1"/>
  </cols>
  <sheetData>
    <row r="1" spans="1:22" ht="13.4" customHeight="1" x14ac:dyDescent="0.35">
      <c r="A1" s="64" t="s">
        <v>0</v>
      </c>
      <c r="B1" s="64"/>
      <c r="C1" s="64"/>
      <c r="D1" s="64"/>
      <c r="E1" s="64"/>
      <c r="F1" s="64"/>
      <c r="G1" s="64"/>
      <c r="H1" s="64"/>
      <c r="P1" s="42"/>
      <c r="Q1" s="42"/>
      <c r="R1" s="42"/>
      <c r="S1" s="42"/>
      <c r="T1" s="42"/>
      <c r="U1" s="42"/>
      <c r="V1" s="42"/>
    </row>
    <row r="2" spans="1:22" x14ac:dyDescent="0.35">
      <c r="A2" s="42"/>
      <c r="B2" s="42"/>
      <c r="C2" s="42"/>
      <c r="D2" s="42"/>
      <c r="E2" s="42"/>
      <c r="F2" s="42"/>
      <c r="G2" s="42"/>
      <c r="H2" s="42"/>
      <c r="O2" s="42"/>
      <c r="P2" s="42"/>
      <c r="Q2" s="42"/>
      <c r="R2" s="42"/>
      <c r="S2" s="42"/>
      <c r="T2" s="42"/>
      <c r="U2" s="42"/>
      <c r="V2" s="42"/>
    </row>
    <row r="3" spans="1:22" ht="9.75" customHeight="1" x14ac:dyDescent="0.35">
      <c r="A3" s="70" t="s">
        <v>1</v>
      </c>
      <c r="B3" s="70"/>
      <c r="C3" s="70"/>
      <c r="D3" s="70"/>
      <c r="E3" s="70"/>
      <c r="F3" s="70"/>
      <c r="G3" s="72"/>
      <c r="H3" s="72"/>
      <c r="O3" s="42"/>
      <c r="P3" s="42"/>
      <c r="Q3" s="42"/>
      <c r="R3" s="42"/>
      <c r="S3" s="42"/>
      <c r="T3" s="42"/>
      <c r="U3" s="42"/>
      <c r="V3" s="42"/>
    </row>
    <row r="4" spans="1:22" ht="9.75" customHeight="1" x14ac:dyDescent="0.35">
      <c r="A4" s="67" t="s">
        <v>2</v>
      </c>
      <c r="B4" s="67"/>
      <c r="C4" s="67"/>
      <c r="D4" s="67"/>
      <c r="E4" s="67"/>
      <c r="F4" s="67"/>
      <c r="G4" s="73"/>
      <c r="H4" s="73"/>
      <c r="I4" s="6"/>
      <c r="O4" s="42"/>
      <c r="P4" s="42"/>
      <c r="Q4" s="42"/>
      <c r="R4" s="42"/>
      <c r="S4" s="42"/>
      <c r="T4" s="42"/>
      <c r="U4" s="42"/>
      <c r="V4" s="42"/>
    </row>
    <row r="5" spans="1:22" ht="9.75" customHeight="1" x14ac:dyDescent="0.35">
      <c r="A5" s="67"/>
      <c r="B5" s="67"/>
      <c r="C5" s="67"/>
      <c r="D5" s="67"/>
      <c r="E5" s="67"/>
      <c r="F5" s="67"/>
      <c r="G5" s="67"/>
      <c r="H5" s="67"/>
      <c r="I5" s="42"/>
      <c r="O5" s="42"/>
      <c r="P5" s="42"/>
      <c r="Q5" s="42"/>
      <c r="R5" s="42"/>
      <c r="S5" s="42"/>
      <c r="T5" s="42"/>
      <c r="U5" s="42"/>
      <c r="V5" s="42"/>
    </row>
    <row r="6" spans="1:22" ht="9.75" customHeight="1" x14ac:dyDescent="0.35">
      <c r="A6" s="67"/>
      <c r="B6" s="67"/>
      <c r="C6" s="67"/>
      <c r="D6" s="67"/>
      <c r="E6" s="67"/>
      <c r="F6" s="67"/>
      <c r="G6" s="74"/>
      <c r="H6" s="74"/>
      <c r="I6" s="6"/>
      <c r="O6" s="42"/>
      <c r="P6" s="42"/>
      <c r="Q6" s="42"/>
      <c r="R6" s="42"/>
      <c r="S6" s="42"/>
      <c r="T6" s="42"/>
      <c r="U6" s="42"/>
      <c r="V6" s="42"/>
    </row>
    <row r="7" spans="1:22" x14ac:dyDescent="0.35">
      <c r="A7" s="42"/>
      <c r="B7" s="42"/>
      <c r="C7" s="42"/>
      <c r="D7" s="42"/>
      <c r="E7" s="42"/>
      <c r="F7" s="42"/>
      <c r="G7" s="43"/>
      <c r="H7" s="6"/>
      <c r="I7" s="6"/>
      <c r="O7" s="42"/>
      <c r="P7" s="42"/>
      <c r="Q7" s="42"/>
      <c r="R7" s="42"/>
      <c r="S7" s="42"/>
      <c r="T7" s="42"/>
      <c r="U7" s="42"/>
      <c r="V7" s="42"/>
    </row>
    <row r="8" spans="1:22" ht="9.75" customHeight="1" x14ac:dyDescent="0.35">
      <c r="A8" s="70" t="s">
        <v>3</v>
      </c>
      <c r="B8" s="70"/>
      <c r="C8" s="41"/>
      <c r="D8" s="70" t="s">
        <v>4</v>
      </c>
      <c r="E8" s="70"/>
      <c r="F8" s="70"/>
      <c r="G8" s="66"/>
      <c r="H8" s="75"/>
      <c r="I8" s="6"/>
      <c r="O8" s="42"/>
      <c r="P8" s="42"/>
      <c r="Q8" s="42"/>
      <c r="R8" s="42"/>
      <c r="S8" s="42"/>
      <c r="T8" s="42"/>
      <c r="U8" s="42"/>
      <c r="V8" s="42"/>
    </row>
    <row r="9" spans="1:22" ht="12.4" customHeight="1" x14ac:dyDescent="0.35">
      <c r="A9" s="8" t="s">
        <v>5</v>
      </c>
      <c r="B9" s="40" t="s">
        <v>6</v>
      </c>
      <c r="C9" s="42"/>
      <c r="D9" s="8" t="s">
        <v>7</v>
      </c>
      <c r="E9" s="67" t="s">
        <v>8</v>
      </c>
      <c r="F9" s="67"/>
      <c r="G9" s="68"/>
      <c r="H9" s="69"/>
      <c r="I9" s="6"/>
      <c r="O9" s="42"/>
      <c r="P9" s="42"/>
      <c r="Q9" s="42"/>
      <c r="R9" s="42"/>
      <c r="S9" s="42"/>
      <c r="T9" s="42"/>
      <c r="U9" s="42"/>
      <c r="V9" s="42"/>
    </row>
    <row r="10" spans="1:22" ht="12.4" customHeight="1" x14ac:dyDescent="0.35">
      <c r="A10" s="8" t="s">
        <v>9</v>
      </c>
      <c r="B10" s="40" t="s">
        <v>10</v>
      </c>
      <c r="C10" s="42"/>
      <c r="D10" s="8" t="s">
        <v>11</v>
      </c>
      <c r="E10" s="67" t="s">
        <v>12</v>
      </c>
      <c r="F10" s="67"/>
      <c r="G10" s="68"/>
      <c r="H10" s="69"/>
      <c r="I10" s="6"/>
      <c r="O10" s="42"/>
      <c r="P10" s="42"/>
      <c r="Q10" s="42"/>
      <c r="R10" s="42"/>
      <c r="S10" s="42"/>
      <c r="T10" s="42"/>
      <c r="U10" s="42"/>
      <c r="V10" s="42"/>
    </row>
    <row r="11" spans="1:22" ht="12.4" customHeight="1" x14ac:dyDescent="0.35">
      <c r="A11" s="8" t="s">
        <v>13</v>
      </c>
      <c r="B11" s="40" t="s">
        <v>14</v>
      </c>
      <c r="C11" s="42"/>
      <c r="D11" s="8" t="s">
        <v>15</v>
      </c>
      <c r="E11" s="67" t="s">
        <v>16</v>
      </c>
      <c r="F11" s="67"/>
      <c r="G11" s="68"/>
      <c r="H11" s="69"/>
      <c r="I11" s="6"/>
      <c r="O11" s="42"/>
      <c r="P11" s="42"/>
      <c r="Q11" s="42"/>
      <c r="R11" s="42"/>
      <c r="S11" s="42"/>
      <c r="T11" s="42"/>
      <c r="U11" s="42"/>
      <c r="V11" s="42"/>
    </row>
    <row r="12" spans="1:22" ht="12.4" customHeight="1" x14ac:dyDescent="0.35">
      <c r="A12" s="8" t="s">
        <v>17</v>
      </c>
      <c r="B12" s="40" t="s">
        <v>18</v>
      </c>
      <c r="C12" s="42"/>
      <c r="D12" s="8" t="s">
        <v>19</v>
      </c>
      <c r="E12" s="67" t="s">
        <v>20</v>
      </c>
      <c r="F12" s="67"/>
      <c r="G12" s="68"/>
      <c r="H12" s="69"/>
      <c r="I12" s="6"/>
      <c r="O12" s="42"/>
      <c r="P12" s="42"/>
      <c r="Q12" s="42"/>
      <c r="R12" s="42"/>
      <c r="S12" s="42"/>
      <c r="T12" s="42"/>
      <c r="U12" s="42"/>
      <c r="V12" s="42"/>
    </row>
    <row r="13" spans="1:22" ht="12.4" customHeight="1" x14ac:dyDescent="0.35">
      <c r="A13" s="8" t="s">
        <v>21</v>
      </c>
      <c r="B13" s="40" t="s">
        <v>22</v>
      </c>
      <c r="C13" s="42"/>
      <c r="D13" s="8" t="s">
        <v>23</v>
      </c>
      <c r="E13" s="67" t="s">
        <v>24</v>
      </c>
      <c r="F13" s="67"/>
      <c r="G13" s="68"/>
      <c r="H13" s="69"/>
      <c r="I13" s="6"/>
      <c r="O13" s="42"/>
      <c r="P13" s="42"/>
      <c r="Q13" s="42"/>
      <c r="R13" s="42"/>
      <c r="S13" s="42"/>
      <c r="T13" s="42"/>
      <c r="U13" s="42"/>
      <c r="V13" s="42"/>
    </row>
    <row r="14" spans="1:22" ht="12.4" customHeight="1" x14ac:dyDescent="0.35">
      <c r="A14" s="8" t="s">
        <v>25</v>
      </c>
      <c r="B14" s="40" t="s">
        <v>26</v>
      </c>
      <c r="C14" s="42"/>
      <c r="D14" s="8" t="s">
        <v>27</v>
      </c>
      <c r="E14" s="67" t="s">
        <v>28</v>
      </c>
      <c r="F14" s="67"/>
      <c r="G14" s="68"/>
      <c r="H14" s="69"/>
      <c r="I14" s="6"/>
      <c r="O14" s="42"/>
      <c r="P14" s="42"/>
      <c r="Q14" s="42"/>
      <c r="R14" s="42"/>
      <c r="S14" s="42"/>
      <c r="T14" s="42"/>
      <c r="U14" s="42"/>
      <c r="V14" s="42"/>
    </row>
    <row r="15" spans="1:22" x14ac:dyDescent="0.35">
      <c r="A15" s="42"/>
      <c r="B15" s="42"/>
      <c r="C15" s="42"/>
      <c r="D15" s="42"/>
      <c r="E15" s="42"/>
      <c r="F15" s="42"/>
      <c r="G15" s="45"/>
      <c r="H15" s="42"/>
      <c r="I15" s="42"/>
      <c r="O15" s="42"/>
      <c r="P15" s="42"/>
      <c r="Q15" s="42"/>
      <c r="R15" s="42"/>
      <c r="S15" s="42"/>
      <c r="T15" s="42"/>
      <c r="U15" s="42"/>
      <c r="V15" s="42"/>
    </row>
    <row r="16" spans="1:22" ht="9.75" customHeight="1" x14ac:dyDescent="0.35">
      <c r="A16" s="70" t="s">
        <v>29</v>
      </c>
      <c r="B16" s="70"/>
      <c r="C16" s="70"/>
      <c r="D16" s="70"/>
      <c r="E16" s="70"/>
      <c r="F16" s="70"/>
      <c r="G16" s="71"/>
      <c r="H16" s="72"/>
      <c r="I16" s="6"/>
      <c r="O16" s="42"/>
      <c r="P16" s="42"/>
      <c r="Q16" s="42"/>
      <c r="R16" s="42"/>
      <c r="S16" s="42"/>
      <c r="T16" s="42"/>
      <c r="U16" s="42"/>
      <c r="V16" s="42"/>
    </row>
    <row r="17" spans="1:22" x14ac:dyDescent="0.35">
      <c r="A17" s="92">
        <v>1</v>
      </c>
      <c r="B17" s="93" t="s">
        <v>1549</v>
      </c>
      <c r="C17" s="67"/>
      <c r="D17" s="67"/>
      <c r="E17" s="67"/>
      <c r="F17" s="67"/>
      <c r="G17" s="68"/>
      <c r="H17" s="69"/>
      <c r="I17" s="6"/>
      <c r="O17" s="42"/>
      <c r="P17" s="42"/>
      <c r="Q17" s="42"/>
      <c r="R17" s="42"/>
      <c r="S17" s="42"/>
      <c r="T17" s="42"/>
      <c r="U17" s="42"/>
      <c r="V17" s="42"/>
    </row>
    <row r="18" spans="1:22" x14ac:dyDescent="0.35">
      <c r="A18" s="92">
        <v>2</v>
      </c>
      <c r="B18" s="93" t="s">
        <v>1550</v>
      </c>
      <c r="C18" s="67"/>
      <c r="D18" s="67"/>
      <c r="E18" s="67"/>
      <c r="F18" s="67"/>
      <c r="G18" s="68"/>
      <c r="H18" s="69"/>
      <c r="I18" s="6"/>
      <c r="O18" s="42"/>
      <c r="P18" s="42"/>
      <c r="Q18" s="42"/>
      <c r="R18" s="42"/>
      <c r="S18" s="42"/>
      <c r="T18" s="42"/>
      <c r="U18" s="42"/>
      <c r="V18" s="42"/>
    </row>
    <row r="19" spans="1:22" x14ac:dyDescent="0.35">
      <c r="A19" s="42"/>
      <c r="B19" s="42"/>
      <c r="C19" s="42"/>
      <c r="D19" s="42"/>
      <c r="E19" s="42"/>
      <c r="F19" s="42"/>
      <c r="G19" s="45"/>
      <c r="H19" s="42"/>
      <c r="I19" s="42"/>
      <c r="O19" s="42"/>
      <c r="P19" s="42"/>
      <c r="Q19" s="42"/>
      <c r="R19" s="42"/>
      <c r="S19" s="42"/>
      <c r="T19" s="42"/>
      <c r="U19" s="42"/>
      <c r="V19" s="42"/>
    </row>
    <row r="20" spans="1:22" ht="10.75" customHeight="1" x14ac:dyDescent="0.35">
      <c r="A20" s="65" t="s">
        <v>30</v>
      </c>
      <c r="B20" s="65"/>
      <c r="C20" s="65"/>
      <c r="D20" s="65"/>
      <c r="E20" s="65"/>
      <c r="F20" s="65"/>
      <c r="G20" s="65"/>
      <c r="H20" s="65"/>
      <c r="I20" s="6"/>
      <c r="O20" s="42"/>
      <c r="P20" s="42"/>
      <c r="Q20" s="42"/>
      <c r="R20" s="42"/>
      <c r="S20" s="42"/>
      <c r="T20" s="42"/>
      <c r="U20" s="42"/>
      <c r="V20" s="42"/>
    </row>
    <row r="21" spans="1:22" ht="10.75" customHeight="1" x14ac:dyDescent="0.35">
      <c r="A21" s="65"/>
      <c r="B21" s="65"/>
      <c r="C21" s="65"/>
      <c r="D21" s="65"/>
      <c r="E21" s="65"/>
      <c r="F21" s="65"/>
      <c r="G21" s="65"/>
      <c r="H21" s="65"/>
      <c r="I21" s="6"/>
      <c r="O21" s="42"/>
      <c r="P21" s="42"/>
      <c r="Q21" s="42"/>
      <c r="R21" s="42"/>
      <c r="S21" s="42"/>
      <c r="T21" s="42"/>
      <c r="U21" s="42"/>
      <c r="V21" s="42"/>
    </row>
    <row r="22" spans="1:22" x14ac:dyDescent="0.35">
      <c r="A22" s="42"/>
      <c r="B22" s="42"/>
      <c r="C22" s="42"/>
      <c r="D22" s="42"/>
      <c r="E22" s="42"/>
      <c r="F22" s="42"/>
      <c r="G22" s="45"/>
      <c r="H22" s="42"/>
      <c r="I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35">
      <c r="A23" s="79" t="s">
        <v>60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</row>
    <row r="24" spans="1:22" x14ac:dyDescent="0.3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spans="1:22" x14ac:dyDescent="0.3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</row>
    <row r="26" spans="1:22" x14ac:dyDescent="0.35">
      <c r="G26" s="45"/>
      <c r="H26" s="6"/>
      <c r="I26" s="6"/>
      <c r="O26" s="42"/>
      <c r="P26" s="42"/>
      <c r="Q26" s="42"/>
      <c r="R26" s="42"/>
      <c r="S26" s="42"/>
      <c r="T26" s="42"/>
      <c r="U26" s="42"/>
      <c r="V26" s="42"/>
    </row>
    <row r="27" spans="1:22" ht="12.65" customHeight="1" x14ac:dyDescent="0.35">
      <c r="A27" s="76" t="s">
        <v>31</v>
      </c>
      <c r="B27" s="77"/>
      <c r="C27" s="77"/>
      <c r="D27" s="77"/>
      <c r="E27" s="77"/>
      <c r="F27" s="78"/>
      <c r="G27" s="78"/>
      <c r="H27" s="78"/>
      <c r="I27" s="78"/>
      <c r="J27" s="78"/>
      <c r="K27" s="78"/>
      <c r="L27" s="78"/>
      <c r="O27" s="42"/>
      <c r="P27" s="42"/>
      <c r="Q27" s="42"/>
      <c r="R27" s="42"/>
      <c r="S27" s="42"/>
      <c r="T27" s="42"/>
      <c r="U27" s="42"/>
      <c r="V27" s="42"/>
    </row>
    <row r="28" spans="1:22" x14ac:dyDescent="0.35">
      <c r="A28" s="42"/>
      <c r="B28" s="42"/>
      <c r="C28" s="42"/>
      <c r="D28" s="42"/>
      <c r="E28" s="42"/>
      <c r="G28" s="45"/>
      <c r="H28" s="6"/>
      <c r="I28" s="6"/>
      <c r="O28" s="42"/>
      <c r="P28" s="42"/>
      <c r="Q28" s="42"/>
      <c r="R28" s="42"/>
      <c r="S28" s="42"/>
      <c r="T28" s="42"/>
      <c r="U28" s="42"/>
      <c r="V28" s="42"/>
    </row>
    <row r="29" spans="1:2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G29" s="45"/>
      <c r="H29" s="6"/>
      <c r="I29" s="6"/>
      <c r="O29" s="42"/>
      <c r="P29" s="42"/>
      <c r="Q29" s="42"/>
      <c r="R29" s="42"/>
      <c r="S29" s="42"/>
      <c r="T29" s="42"/>
      <c r="U29" s="42"/>
      <c r="V29" s="42"/>
    </row>
    <row r="30" spans="1:22" x14ac:dyDescent="0.35">
      <c r="A30" s="42" t="str">
        <f>'Scenario Definitions'!C5</f>
        <v>2A</v>
      </c>
      <c r="B30" s="42" t="str">
        <f>_xlfn.XLOOKUP($A$30, ScenarioTable[Scenario ID], ScenarioTable[Intermediary Model])</f>
        <v>HIE/HDU with HCCN</v>
      </c>
      <c r="C30" s="6">
        <f>SUMIF('Cost Build-Up'!$AE$5:$AE$77,1,'Cost Build-Up'!$BH$5:$BH$77)+SUM('Optional Add-Ons Build-Up'!$W$5:$W$16)</f>
        <v>1492378.2750000001</v>
      </c>
      <c r="D30" s="6">
        <f>SUMIF('Cost Build-Up'!$AE$5:$AE$77,1,'Cost Build-Up'!$BI$5:$BI$77)+SUM('Optional Add-Ons Build-Up'!$X$5:$X$16)</f>
        <v>3094276.35</v>
      </c>
      <c r="E30" s="6">
        <f>SUMIF('Cost Build-Up'!$AE$5:$AE$77,1,'Cost Build-Up'!$BJ$5:$BJ$77)+SUM('Optional Add-Ons Build-Up'!$Y$5:$Y$16)</f>
        <v>8028489.5500000007</v>
      </c>
      <c r="G30" s="45"/>
      <c r="H30" s="6"/>
      <c r="I30" s="6"/>
      <c r="O30" s="42"/>
      <c r="P30" s="42"/>
      <c r="Q30" s="42"/>
      <c r="R30" s="42"/>
      <c r="S30" s="42"/>
      <c r="T30" s="42"/>
      <c r="U30" s="42"/>
      <c r="V30" s="42"/>
    </row>
    <row r="31" spans="1:22" x14ac:dyDescent="0.35">
      <c r="A31" s="42"/>
      <c r="B31" s="42"/>
      <c r="C31" s="42"/>
      <c r="D31" s="42"/>
      <c r="E31" s="42"/>
      <c r="G31" s="45"/>
      <c r="H31" s="6"/>
      <c r="I31" s="6"/>
      <c r="O31" s="42"/>
      <c r="P31" s="42"/>
      <c r="Q31" s="42"/>
      <c r="R31" s="42"/>
      <c r="S31" s="42"/>
      <c r="T31" s="42"/>
      <c r="U31" s="42"/>
      <c r="V31" s="42"/>
    </row>
    <row r="32" spans="1:22" x14ac:dyDescent="0.35">
      <c r="B32" s="46" t="s">
        <v>37</v>
      </c>
      <c r="C32" s="9" t="s">
        <v>34</v>
      </c>
      <c r="D32" s="9" t="s">
        <v>35</v>
      </c>
      <c r="E32" s="9" t="s">
        <v>36</v>
      </c>
      <c r="G32" s="45"/>
      <c r="H32" s="47"/>
      <c r="I32" s="47"/>
      <c r="O32" s="42"/>
      <c r="P32" s="42"/>
      <c r="Q32" s="42"/>
      <c r="R32" s="42"/>
      <c r="S32" s="42"/>
      <c r="T32" s="42"/>
      <c r="U32" s="42"/>
      <c r="V32" s="42"/>
    </row>
    <row r="33" spans="2:22" x14ac:dyDescent="0.35">
      <c r="B33" s="48" t="s">
        <v>38</v>
      </c>
      <c r="C33" s="6">
        <f>SUMIF('Cost Build-Up'!$AE$5:$AE$77,1,'Cost Build-Up'!$AT$5:$AT$77)+SUMIF('Cost Build-Up'!$AE$5:$AE$77,1,'Cost Build-Up'!$AW$5:$AW$77)+SUMIF('Cost Build-Up'!$AE$5:$AE$77,1,'Cost Build-Up'!$BA$5:$BA$77)</f>
        <v>1433402.0249999999</v>
      </c>
      <c r="D33" s="6">
        <f>SUMIF('Cost Build-Up'!$AE$5:$AE$77,1,'Cost Build-Up'!$AU$5:$AU$77)+SUMIF('Cost Build-Up'!$AE$5:$AE$77,1,'Cost Build-Up'!$AX$5:$AX$77)+SUMIF('Cost Build-Up'!$AE$5:$AE$77,1,'Cost Build-Up'!$BB$5:$BB$77)</f>
        <v>2911271.7</v>
      </c>
      <c r="E33" s="6">
        <f>SUMIF('Cost Build-Up'!$AE$5:$AE$77,1,'Cost Build-Up'!$AV$5:$AV$77)+SUMIF('Cost Build-Up'!$AE$5:$AE$77,1,'Cost Build-Up'!$AY$5:$AY$77)+SUMIF('Cost Build-Up'!$AE$5:$AE$77,1,'Cost Build-Up'!$BC$5:$BC$77)</f>
        <v>7123349.2750000004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2:22" x14ac:dyDescent="0.35">
      <c r="B34" s="48" t="s">
        <v>39</v>
      </c>
      <c r="C34" s="6">
        <f>SUMIF('Cost Build-Up'!$AE$5:$AE$77,1,'Cost Build-Up'!$BE$5:$BE$77)</f>
        <v>58976.25</v>
      </c>
      <c r="D34" s="6">
        <f>SUMIF('Cost Build-Up'!$AE$5:$AE$77,1,'Cost Build-Up'!$BF$5:$BF$77)</f>
        <v>183004.65000000002</v>
      </c>
      <c r="E34" s="6">
        <f>SUMIF('Cost Build-Up'!$AE$5:$AE$77,1,'Cost Build-Up'!$BG$5:$BG$77)</f>
        <v>905140.27500000014</v>
      </c>
      <c r="G34" s="45"/>
      <c r="H34" s="6"/>
      <c r="I34" s="6"/>
    </row>
    <row r="35" spans="2:22" x14ac:dyDescent="0.35">
      <c r="B35" s="48" t="s">
        <v>40</v>
      </c>
      <c r="C35" s="6">
        <f>C33+C34+SUM('Optional Add-Ons Build-Up'!$W$5:$W$16)</f>
        <v>1492378.2749999999</v>
      </c>
      <c r="D35" s="6">
        <f>D33+D34+SUM('Optional Add-Ons Build-Up'!$X$5:$X$16)</f>
        <v>3094276.35</v>
      </c>
      <c r="E35" s="6">
        <f>E33+E34+SUM('Optional Add-Ons Build-Up'!$Y$5:$Y$16)</f>
        <v>8028489.5500000007</v>
      </c>
      <c r="G35" s="45"/>
      <c r="H35" s="6"/>
      <c r="I35" s="6"/>
    </row>
    <row r="36" spans="2:22" x14ac:dyDescent="0.35">
      <c r="B36" s="48" t="s">
        <v>41</v>
      </c>
      <c r="C36" s="6">
        <v>0</v>
      </c>
      <c r="D36" s="6">
        <v>0</v>
      </c>
      <c r="E36" s="6">
        <v>0</v>
      </c>
      <c r="G36" s="45"/>
      <c r="H36" s="47"/>
      <c r="I36" s="47"/>
    </row>
    <row r="37" spans="2:22" x14ac:dyDescent="0.35">
      <c r="B37" s="48" t="s">
        <v>42</v>
      </c>
      <c r="C37" s="6">
        <f>C35+C36</f>
        <v>1492378.2749999999</v>
      </c>
      <c r="D37" s="6">
        <f>D35+D36</f>
        <v>3094276.35</v>
      </c>
      <c r="E37" s="6">
        <f>E35+E36</f>
        <v>8028489.5500000007</v>
      </c>
    </row>
    <row r="38" spans="2:22" x14ac:dyDescent="0.35">
      <c r="B38" s="48" t="s">
        <v>43</v>
      </c>
      <c r="C38" s="6">
        <f>SUMIFS('Cost Build-Up'!$BH$5:$BH$77,'Cost Build-Up'!$D$5:$D$77,"&lt;&gt;Pilot operations and support",'Cost Build-Up'!$AE$5:$AE$77,1)</f>
        <v>1141936.2750000001</v>
      </c>
      <c r="D38" s="6">
        <f>SUMIFS('Cost Build-Up'!$BI$5:$BI$77,'Cost Build-Up'!$D$5:$D$77,"&lt;&gt;Pilot operations and support",'Cost Build-Up'!$AE$5:$AE$77,1)</f>
        <v>2320041.1</v>
      </c>
      <c r="E38" s="6">
        <f>SUMIFS('Cost Build-Up'!$BJ$5:$BJ$77,'Cost Build-Up'!$D$5:$D$77,"&lt;&gt;Pilot operations and support",'Cost Build-Up'!$AE$5:$AE$77,1)</f>
        <v>6429867.5500000007</v>
      </c>
    </row>
    <row r="39" spans="2:22" x14ac:dyDescent="0.35">
      <c r="B39" s="48" t="s">
        <v>44</v>
      </c>
      <c r="C39" s="6">
        <f>SUMIFS('Cost Build-Up'!$BH$5:$BH$77,'Cost Build-Up'!$D$5:$D$77,"Pilot operations and support",'Cost Build-Up'!$AE$5:$AE$77,1)</f>
        <v>350442</v>
      </c>
      <c r="D39" s="6">
        <f>SUMIFS('Cost Build-Up'!$BI$5:$BI$77,'Cost Build-Up'!$D$5:$D$77,"Pilot operations and support",'Cost Build-Up'!$AE$5:$AE$77,1)</f>
        <v>774235.25</v>
      </c>
      <c r="E39" s="6">
        <f>SUMIFS('Cost Build-Up'!$BJ$5:$BJ$77,'Cost Build-Up'!$D$5:$D$77,"Pilot operations and support",'Cost Build-Up'!$AE$5:$AE$77,1)</f>
        <v>1598622</v>
      </c>
    </row>
    <row r="40" spans="2:22" x14ac:dyDescent="0.35">
      <c r="B40" s="48" t="s">
        <v>45</v>
      </c>
      <c r="C40" s="6">
        <f>IFERROR(C39/VLOOKUP("IN-18",'Assumptions &amp; Inputs'!$A$31:$F$69,3,FALSE),0)</f>
        <v>58407</v>
      </c>
      <c r="D40" s="6">
        <f>IFERROR(D39/VLOOKUP("IN-18",'Assumptions &amp; Inputs'!$A$31:$F$69,4,FALSE),0)</f>
        <v>86026.138888888891</v>
      </c>
      <c r="E40" s="6">
        <f>IFERROR(E39/VLOOKUP("IN-18",'Assumptions &amp; Inputs'!$A$31:$F$69,5,FALSE),0)</f>
        <v>177624.66666666666</v>
      </c>
    </row>
    <row r="41" spans="2:22" x14ac:dyDescent="0.35">
      <c r="B41" s="45"/>
      <c r="C41" s="42"/>
      <c r="D41" s="42"/>
      <c r="E41" s="42"/>
    </row>
    <row r="42" spans="2:22" x14ac:dyDescent="0.35">
      <c r="B42" s="46" t="s">
        <v>46</v>
      </c>
      <c r="C42" s="9" t="s">
        <v>34</v>
      </c>
      <c r="D42" s="9" t="s">
        <v>35</v>
      </c>
      <c r="E42" s="9" t="s">
        <v>36</v>
      </c>
    </row>
    <row r="43" spans="2:22" x14ac:dyDescent="0.35">
      <c r="B43" s="47" t="s">
        <v>47</v>
      </c>
      <c r="C43" s="6">
        <f>SUMIFS('Cost Build-Up'!$BH$5:$BH$77,'Cost Build-Up'!$C$5:$C$77,$B43,'Cost Build-Up'!$AE$5:$AE$77,1)</f>
        <v>212139.9</v>
      </c>
      <c r="D43" s="6">
        <f>SUMIFS('Cost Build-Up'!$BI$5:$BI$77,'Cost Build-Up'!$C$5:$C$77,$B43,'Cost Build-Up'!$AE$5:$AE$77,1)</f>
        <v>375621.1</v>
      </c>
      <c r="E43" s="6">
        <f>SUMIFS('Cost Build-Up'!$BJ$5:$BJ$77,'Cost Build-Up'!$C$5:$C$77,$B43,'Cost Build-Up'!$AE$5:$AE$77,1)</f>
        <v>927010.2</v>
      </c>
    </row>
    <row r="44" spans="2:22" x14ac:dyDescent="0.35">
      <c r="B44" s="47" t="s">
        <v>48</v>
      </c>
      <c r="C44" s="6">
        <f>SUMIFS('Cost Build-Up'!$BH$5:$BH$77,'Cost Build-Up'!$C$5:$C$77,$B44,'Cost Build-Up'!$AE$5:$AE$77,1)</f>
        <v>788159.4</v>
      </c>
      <c r="D44" s="6">
        <f>SUMIFS('Cost Build-Up'!$BI$5:$BI$77,'Cost Build-Up'!$C$5:$C$77,$B44,'Cost Build-Up'!$AE$5:$AE$77,1)</f>
        <v>1523946.9</v>
      </c>
      <c r="E44" s="6">
        <f>SUMIFS('Cost Build-Up'!$BJ$5:$BJ$77,'Cost Build-Up'!$C$5:$C$77,$B44,'Cost Build-Up'!$AE$5:$AE$77,1)</f>
        <v>3568234</v>
      </c>
    </row>
    <row r="45" spans="2:22" x14ac:dyDescent="0.35">
      <c r="B45" s="47" t="s">
        <v>49</v>
      </c>
      <c r="C45" s="6">
        <f>SUMIFS('Cost Build-Up'!$BH$5:$BH$77,'Cost Build-Up'!$C$5:$C$77,$B45,'Cost Build-Up'!$AE$5:$AE$77,1)</f>
        <v>262464.22499999998</v>
      </c>
      <c r="D45" s="6">
        <f>SUMIFS('Cost Build-Up'!$BI$5:$BI$77,'Cost Build-Up'!$C$5:$C$77,$B45,'Cost Build-Up'!$AE$5:$AE$77,1)</f>
        <v>578428.5</v>
      </c>
      <c r="E45" s="6">
        <f>SUMIFS('Cost Build-Up'!$BJ$5:$BJ$77,'Cost Build-Up'!$C$5:$C$77,$B45,'Cost Build-Up'!$AE$5:$AE$77,1)</f>
        <v>1484093.4500000002</v>
      </c>
    </row>
    <row r="46" spans="2:22" x14ac:dyDescent="0.35">
      <c r="B46" s="47" t="s">
        <v>50</v>
      </c>
      <c r="C46" s="6">
        <f>SUMIFS('Cost Build-Up'!$BH$5:$BH$77,'Cost Build-Up'!$C$5:$C$77,$B46,'Cost Build-Up'!$AE$5:$AE$77,1)</f>
        <v>229614.75</v>
      </c>
      <c r="D46" s="6">
        <f>SUMIFS('Cost Build-Up'!$BI$5:$BI$77,'Cost Build-Up'!$C$5:$C$77,$B46,'Cost Build-Up'!$AE$5:$AE$77,1)</f>
        <v>616279.85</v>
      </c>
      <c r="E46" s="6">
        <f>SUMIFS('Cost Build-Up'!$BJ$5:$BJ$77,'Cost Build-Up'!$C$5:$C$77,$B46,'Cost Build-Up'!$AE$5:$AE$77,1)</f>
        <v>2049151.9</v>
      </c>
    </row>
    <row r="47" spans="2:22" x14ac:dyDescent="0.35">
      <c r="B47" s="45"/>
      <c r="C47" s="42"/>
      <c r="D47" s="42"/>
      <c r="E47" s="42"/>
    </row>
    <row r="48" spans="2:22" x14ac:dyDescent="0.35">
      <c r="B48" s="46" t="s">
        <v>51</v>
      </c>
      <c r="C48" s="9" t="s">
        <v>34</v>
      </c>
      <c r="D48" s="9" t="s">
        <v>35</v>
      </c>
      <c r="E48" s="9" t="s">
        <v>36</v>
      </c>
    </row>
    <row r="49" spans="1:6" x14ac:dyDescent="0.35">
      <c r="B49" s="47" t="s">
        <v>52</v>
      </c>
      <c r="C49" s="6">
        <f>SUMIFS('Cost Build-Up'!$BH$5:$BH$77,'Cost Build-Up'!$D$5:$D$77,$B49,'Cost Build-Up'!$AE$5:$AE$77,1)</f>
        <v>202089</v>
      </c>
      <c r="D49" s="6">
        <f>SUMIFS('Cost Build-Up'!$BI$5:$BI$77,'Cost Build-Up'!$D$5:$D$77,$B49,'Cost Build-Up'!$AE$5:$AE$77,1)</f>
        <v>303779</v>
      </c>
      <c r="E49" s="6">
        <f>SUMIFS('Cost Build-Up'!$BJ$5:$BJ$77,'Cost Build-Up'!$D$5:$D$77,$B49,'Cost Build-Up'!$AE$5:$AE$77,1)</f>
        <v>610476</v>
      </c>
    </row>
    <row r="50" spans="1:6" x14ac:dyDescent="0.35">
      <c r="B50" s="47" t="s">
        <v>53</v>
      </c>
      <c r="C50" s="6">
        <f>SUMIFS('Cost Build-Up'!$BH$5:$BH$77,'Cost Build-Up'!$D$5:$D$77,$B50,'Cost Build-Up'!$AE$5:$AE$77,1)</f>
        <v>150347.4</v>
      </c>
      <c r="D50" s="6">
        <f>SUMIFS('Cost Build-Up'!$BI$5:$BI$77,'Cost Build-Up'!$D$5:$D$77,$B50,'Cost Build-Up'!$AE$5:$AE$77,1)</f>
        <v>307886.69999999995</v>
      </c>
      <c r="E50" s="6">
        <f>SUMIFS('Cost Build-Up'!$BJ$5:$BJ$77,'Cost Build-Up'!$D$5:$D$77,$B50,'Cost Build-Up'!$AE$5:$AE$77,1)</f>
        <v>1106709.25</v>
      </c>
    </row>
    <row r="51" spans="1:6" x14ac:dyDescent="0.35">
      <c r="B51" s="47" t="s">
        <v>54</v>
      </c>
      <c r="C51" s="6">
        <f>SUMIFS('Cost Build-Up'!$BH$5:$BH$77,'Cost Build-Up'!$D$5:$D$77,$B51,'Cost Build-Up'!$AE$5:$AE$77,1)</f>
        <v>92238.074999999997</v>
      </c>
      <c r="D51" s="6">
        <f>SUMIFS('Cost Build-Up'!$BI$5:$BI$77,'Cost Build-Up'!$D$5:$D$77,$B51,'Cost Build-Up'!$AE$5:$AE$77,1)</f>
        <v>191686.25</v>
      </c>
      <c r="E51" s="6">
        <f>SUMIFS('Cost Build-Up'!$BJ$5:$BJ$77,'Cost Build-Up'!$D$5:$D$77,$B51,'Cost Build-Up'!$AE$5:$AE$77,1)</f>
        <v>483784.3</v>
      </c>
    </row>
    <row r="52" spans="1:6" x14ac:dyDescent="0.35">
      <c r="B52" s="47" t="s">
        <v>55</v>
      </c>
      <c r="C52" s="6">
        <f>SUMIFS('Cost Build-Up'!$BH$5:$BH$77,'Cost Build-Up'!$D$5:$D$77,$B52,'Cost Build-Up'!$AE$5:$AE$77,1)</f>
        <v>379185.15</v>
      </c>
      <c r="D52" s="6">
        <f>SUMIFS('Cost Build-Up'!$BI$5:$BI$77,'Cost Build-Up'!$D$5:$D$77,$B52,'Cost Build-Up'!$AE$5:$AE$77,1)</f>
        <v>734896.25</v>
      </c>
      <c r="E52" s="6">
        <f>SUMIFS('Cost Build-Up'!$BJ$5:$BJ$77,'Cost Build-Up'!$D$5:$D$77,$B52,'Cost Build-Up'!$AE$5:$AE$77,1)</f>
        <v>1790295.9</v>
      </c>
    </row>
    <row r="53" spans="1:6" x14ac:dyDescent="0.35">
      <c r="B53" s="47" t="s">
        <v>56</v>
      </c>
      <c r="C53" s="6">
        <f>SUMIFS('Cost Build-Up'!$BH$5:$BH$77,'Cost Build-Up'!$D$5:$D$77,$B53,'Cost Build-Up'!$AE$5:$AE$77,1)</f>
        <v>149182.27499999999</v>
      </c>
      <c r="D53" s="6">
        <f>SUMIFS('Cost Build-Up'!$BI$5:$BI$77,'Cost Build-Up'!$D$5:$D$77,$B53,'Cost Build-Up'!$AE$5:$AE$77,1)</f>
        <v>391268.39999999997</v>
      </c>
      <c r="E53" s="6">
        <f>SUMIFS('Cost Build-Up'!$BJ$5:$BJ$77,'Cost Build-Up'!$D$5:$D$77,$B53,'Cost Build-Up'!$AE$5:$AE$77,1)</f>
        <v>1262982.1000000001</v>
      </c>
    </row>
    <row r="54" spans="1:6" x14ac:dyDescent="0.35">
      <c r="B54" s="47" t="s">
        <v>57</v>
      </c>
      <c r="C54" s="6">
        <f>SUMIFS('Cost Build-Up'!$BH$5:$BH$77,'Cost Build-Up'!$D$5:$D$77,$B54,'Cost Build-Up'!$AE$5:$AE$77,1)</f>
        <v>45847.125</v>
      </c>
      <c r="D54" s="6">
        <f>SUMIFS('Cost Build-Up'!$BI$5:$BI$77,'Cost Build-Up'!$D$5:$D$77,$B54,'Cost Build-Up'!$AE$5:$AE$77,1)</f>
        <v>124268.5</v>
      </c>
      <c r="E54" s="6">
        <f>SUMIFS('Cost Build-Up'!$BJ$5:$BJ$77,'Cost Build-Up'!$D$5:$D$77,$B54,'Cost Build-Up'!$AE$5:$AE$77,1)</f>
        <v>372939</v>
      </c>
    </row>
    <row r="55" spans="1:6" x14ac:dyDescent="0.35">
      <c r="B55" s="47" t="s">
        <v>58</v>
      </c>
      <c r="C55" s="6">
        <f>SUMIFS('Cost Build-Up'!$BH$5:$BH$77,'Cost Build-Up'!$D$5:$D$77,$B55,'Cost Build-Up'!$AE$5:$AE$77,1)</f>
        <v>350442</v>
      </c>
      <c r="D55" s="6">
        <f>SUMIFS('Cost Build-Up'!$BI$5:$BI$77,'Cost Build-Up'!$D$5:$D$77,$B55,'Cost Build-Up'!$AE$5:$AE$77,1)</f>
        <v>774235.25</v>
      </c>
      <c r="E55" s="6">
        <f>SUMIFS('Cost Build-Up'!$BJ$5:$BJ$77,'Cost Build-Up'!$D$5:$D$77,$B55,'Cost Build-Up'!$AE$5:$AE$77,1)</f>
        <v>1598622</v>
      </c>
    </row>
    <row r="56" spans="1:6" x14ac:dyDescent="0.35">
      <c r="B56" s="47" t="s">
        <v>59</v>
      </c>
      <c r="C56" s="6">
        <f>SUMIFS('Cost Build-Up'!$BH$5:$BH$77,'Cost Build-Up'!$D$5:$D$77,$B56,'Cost Build-Up'!$AE$5:$AE$77,1)</f>
        <v>123047.25</v>
      </c>
      <c r="D56" s="6">
        <f>SUMIFS('Cost Build-Up'!$BI$5:$BI$77,'Cost Build-Up'!$D$5:$D$77,$B56,'Cost Build-Up'!$AE$5:$AE$77,1)</f>
        <v>266256</v>
      </c>
      <c r="E56" s="6">
        <f>SUMIFS('Cost Build-Up'!$BJ$5:$BJ$77,'Cost Build-Up'!$D$5:$D$77,$B56,'Cost Build-Up'!$AE$5:$AE$77,1)</f>
        <v>802681</v>
      </c>
    </row>
    <row r="57" spans="1:6" x14ac:dyDescent="0.35">
      <c r="B57" s="47"/>
      <c r="C57" s="6"/>
      <c r="D57" s="6"/>
      <c r="E57" s="6"/>
    </row>
    <row r="58" spans="1:6" x14ac:dyDescent="0.35">
      <c r="A58" s="91" t="s">
        <v>1548</v>
      </c>
      <c r="B58" s="80"/>
      <c r="C58" s="80"/>
      <c r="D58" s="80"/>
      <c r="E58" s="80"/>
    </row>
    <row r="59" spans="1:6" x14ac:dyDescent="0.35">
      <c r="A59" s="88" t="s">
        <v>98</v>
      </c>
      <c r="B59" s="88" t="s">
        <v>1531</v>
      </c>
      <c r="C59" s="88" t="s">
        <v>1421</v>
      </c>
      <c r="D59" s="88" t="s">
        <v>1532</v>
      </c>
      <c r="E59" s="88" t="s">
        <v>100</v>
      </c>
    </row>
    <row r="60" spans="1:6" ht="43.5" x14ac:dyDescent="0.35">
      <c r="A60" s="89" t="s">
        <v>104</v>
      </c>
      <c r="B60" s="89" t="s">
        <v>1432</v>
      </c>
      <c r="C60" s="89" t="str">
        <f>'Optional Add-Ons Build-Up'!K5</f>
        <v>No</v>
      </c>
      <c r="D60" s="90">
        <f>'Optional Add-Ons Build-Up'!N5+'Optional Add-Ons Build-Up'!Q5</f>
        <v>370000</v>
      </c>
      <c r="E60" s="89" t="s">
        <v>1533</v>
      </c>
    </row>
    <row r="61" spans="1:6" ht="29" x14ac:dyDescent="0.35">
      <c r="A61" s="89" t="s">
        <v>110</v>
      </c>
      <c r="B61" s="89" t="s">
        <v>111</v>
      </c>
      <c r="C61" s="89" t="str">
        <f>'Optional Add-Ons Build-Up'!K6</f>
        <v>No</v>
      </c>
      <c r="D61" s="90">
        <f>'Optional Add-Ons Build-Up'!N6+'Optional Add-Ons Build-Up'!Q6</f>
        <v>135000</v>
      </c>
      <c r="E61" s="89" t="s">
        <v>1534</v>
      </c>
    </row>
    <row r="62" spans="1:6" ht="43.5" x14ac:dyDescent="0.35">
      <c r="A62" s="89" t="s">
        <v>115</v>
      </c>
      <c r="B62" s="89" t="s">
        <v>1452</v>
      </c>
      <c r="C62" s="89" t="str">
        <f>'Optional Add-Ons Build-Up'!K7</f>
        <v>No</v>
      </c>
      <c r="D62" s="90">
        <f>'Optional Add-Ons Build-Up'!N7+'Optional Add-Ons Build-Up'!Q7</f>
        <v>420000</v>
      </c>
      <c r="E62" s="89" t="s">
        <v>1535</v>
      </c>
    </row>
    <row r="63" spans="1:6" ht="29" x14ac:dyDescent="0.35">
      <c r="A63" s="85" t="s">
        <v>144</v>
      </c>
      <c r="B63" s="85" t="s">
        <v>145</v>
      </c>
      <c r="C63" s="85" t="str">
        <f>'Optional Add-Ons Build-Up'!K14</f>
        <v>No</v>
      </c>
      <c r="D63" s="86">
        <f>'Optional Add-Ons Build-Up'!N14+'Optional Add-Ons Build-Up'!Q14</f>
        <v>330000</v>
      </c>
      <c r="E63" s="85" t="s">
        <v>1536</v>
      </c>
    </row>
    <row r="64" spans="1:6" x14ac:dyDescent="0.35">
      <c r="B64" s="85"/>
      <c r="C64" s="85"/>
      <c r="D64" s="85"/>
      <c r="E64" s="85"/>
      <c r="F64" s="85"/>
    </row>
    <row r="65" spans="1:5" x14ac:dyDescent="0.35">
      <c r="A65" s="87" t="s">
        <v>1537</v>
      </c>
      <c r="B65" s="80"/>
      <c r="C65" s="80"/>
      <c r="D65" s="80"/>
      <c r="E65" s="80"/>
    </row>
    <row r="66" spans="1:5" ht="43.5" x14ac:dyDescent="0.35">
      <c r="A66" s="85" t="s">
        <v>1538</v>
      </c>
      <c r="B66" s="85" t="s">
        <v>1539</v>
      </c>
      <c r="C66" s="85"/>
      <c r="D66" s="85"/>
      <c r="E66" s="85"/>
    </row>
    <row r="67" spans="1:5" ht="58" x14ac:dyDescent="0.35">
      <c r="A67" s="85" t="s">
        <v>1540</v>
      </c>
      <c r="B67" s="85" t="s">
        <v>1541</v>
      </c>
      <c r="C67" s="85"/>
      <c r="D67" s="85"/>
      <c r="E67" s="85"/>
    </row>
    <row r="68" spans="1:5" ht="43.5" x14ac:dyDescent="0.35">
      <c r="A68" s="85" t="s">
        <v>1542</v>
      </c>
      <c r="B68" s="85" t="s">
        <v>1543</v>
      </c>
      <c r="C68" s="85"/>
      <c r="D68" s="85"/>
      <c r="E68" s="85"/>
    </row>
    <row r="69" spans="1:5" ht="43.5" x14ac:dyDescent="0.35">
      <c r="A69" s="85" t="s">
        <v>1544</v>
      </c>
      <c r="B69" s="85" t="s">
        <v>1545</v>
      </c>
      <c r="C69" s="85"/>
      <c r="D69" s="85"/>
      <c r="E69" s="85"/>
    </row>
    <row r="70" spans="1:5" ht="43.5" x14ac:dyDescent="0.35">
      <c r="A70" s="85" t="s">
        <v>1546</v>
      </c>
      <c r="B70" s="85" t="s">
        <v>1547</v>
      </c>
      <c r="C70" s="85"/>
      <c r="D70" s="85"/>
      <c r="E70" s="85"/>
    </row>
    <row r="71" spans="1:5" x14ac:dyDescent="0.35">
      <c r="B71" s="47"/>
      <c r="C71" s="6"/>
      <c r="D71" s="6"/>
      <c r="E71" s="6"/>
    </row>
  </sheetData>
  <mergeCells count="19">
    <mergeCell ref="A27:L27"/>
    <mergeCell ref="A23:L25"/>
    <mergeCell ref="B17:H17"/>
    <mergeCell ref="B18:H18"/>
    <mergeCell ref="A20:H21"/>
    <mergeCell ref="A58:E58"/>
    <mergeCell ref="A65:E65"/>
    <mergeCell ref="E14:H14"/>
    <mergeCell ref="A16:H16"/>
    <mergeCell ref="A1:H1"/>
    <mergeCell ref="A3:H3"/>
    <mergeCell ref="A4:H6"/>
    <mergeCell ref="A8:B8"/>
    <mergeCell ref="D8:H8"/>
    <mergeCell ref="E9:H9"/>
    <mergeCell ref="E10:H10"/>
    <mergeCell ref="E11:H11"/>
    <mergeCell ref="E12:H12"/>
    <mergeCell ref="E13:H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activeCell="C5" sqref="C5"/>
    </sheetView>
  </sheetViews>
  <sheetFormatPr defaultRowHeight="14.5" x14ac:dyDescent="0.35"/>
  <cols>
    <col min="1" max="1" width="13" customWidth="1"/>
    <col min="2" max="2" width="28" customWidth="1"/>
    <col min="3" max="3" width="42" customWidth="1"/>
    <col min="4" max="4" width="30" customWidth="1"/>
    <col min="5" max="5" width="17.54296875" customWidth="1"/>
    <col min="6" max="6" width="42" customWidth="1"/>
    <col min="7" max="7" width="10.81640625" customWidth="1"/>
    <col min="8" max="8" width="11.54296875" customWidth="1"/>
    <col min="9" max="9" width="11.453125" customWidth="1"/>
    <col min="10" max="10" width="18" customWidth="1"/>
  </cols>
  <sheetData>
    <row r="1" spans="1:9" ht="21" x14ac:dyDescent="0.35">
      <c r="A1" s="64" t="s">
        <v>61</v>
      </c>
      <c r="B1" s="64"/>
      <c r="C1" s="64"/>
      <c r="D1" s="64"/>
      <c r="E1" s="64"/>
      <c r="F1" s="64"/>
    </row>
    <row r="2" spans="1:9" x14ac:dyDescent="0.35">
      <c r="A2" s="65" t="s">
        <v>62</v>
      </c>
      <c r="B2" s="65"/>
      <c r="C2" s="65"/>
      <c r="D2" s="65"/>
      <c r="E2" s="65"/>
      <c r="F2" s="65"/>
    </row>
    <row r="3" spans="1:9" x14ac:dyDescent="0.35">
      <c r="A3" s="65"/>
      <c r="B3" s="65"/>
      <c r="C3" s="65"/>
      <c r="D3" s="65"/>
      <c r="E3" s="65"/>
      <c r="F3" s="65"/>
    </row>
    <row r="4" spans="1:9" x14ac:dyDescent="0.35">
      <c r="A4" s="42"/>
      <c r="B4" s="42"/>
      <c r="C4" s="42"/>
      <c r="D4" s="42"/>
      <c r="E4" s="42"/>
      <c r="F4" s="42"/>
    </row>
    <row r="5" spans="1:9" x14ac:dyDescent="0.35">
      <c r="A5" s="42"/>
      <c r="B5" s="96" t="s">
        <v>32</v>
      </c>
      <c r="C5" s="49" t="s">
        <v>82</v>
      </c>
      <c r="D5" s="42"/>
      <c r="E5" s="42"/>
      <c r="F5" s="42"/>
    </row>
    <row r="6" spans="1:9" x14ac:dyDescent="0.35">
      <c r="A6" s="42"/>
      <c r="B6" s="42"/>
      <c r="C6" s="42"/>
      <c r="D6" s="42"/>
      <c r="E6" s="42"/>
      <c r="F6" s="42"/>
    </row>
    <row r="7" spans="1:9" x14ac:dyDescent="0.35">
      <c r="A7" s="9" t="s">
        <v>63</v>
      </c>
      <c r="B7" s="9" t="s">
        <v>64</v>
      </c>
      <c r="C7" s="9" t="s">
        <v>65</v>
      </c>
      <c r="D7" s="9" t="s">
        <v>66</v>
      </c>
      <c r="E7" s="9" t="s">
        <v>67</v>
      </c>
      <c r="F7" s="9" t="s">
        <v>68</v>
      </c>
      <c r="G7" s="9" t="s">
        <v>69</v>
      </c>
      <c r="H7" s="9" t="s">
        <v>70</v>
      </c>
      <c r="I7" s="9" t="s">
        <v>71</v>
      </c>
    </row>
    <row r="8" spans="1:9" ht="29" x14ac:dyDescent="0.35">
      <c r="A8" s="40" t="s">
        <v>72</v>
      </c>
      <c r="B8" s="40" t="s">
        <v>73</v>
      </c>
      <c r="C8" s="40" t="s">
        <v>74</v>
      </c>
      <c r="D8" s="40" t="s">
        <v>75</v>
      </c>
      <c r="E8" s="40" t="s">
        <v>76</v>
      </c>
      <c r="F8" s="40" t="s">
        <v>77</v>
      </c>
      <c r="G8" s="7">
        <f>SUM('Cost Build-Up'!$BU$5:$BU$77)</f>
        <v>1229914.0500000003</v>
      </c>
      <c r="H8" s="7">
        <f>SUM('Cost Build-Up'!$BV$5:$BV$77)</f>
        <v>2587667.85</v>
      </c>
      <c r="I8" s="7">
        <f>SUM('Cost Build-Up'!$BW$5:$BW$77)</f>
        <v>6714496.1000000006</v>
      </c>
    </row>
    <row r="9" spans="1:9" ht="29" x14ac:dyDescent="0.35">
      <c r="A9" s="40" t="s">
        <v>78</v>
      </c>
      <c r="B9" s="40" t="s">
        <v>73</v>
      </c>
      <c r="C9" s="40" t="s">
        <v>79</v>
      </c>
      <c r="D9" s="40" t="s">
        <v>80</v>
      </c>
      <c r="E9" s="40" t="s">
        <v>76</v>
      </c>
      <c r="F9" s="40" t="s">
        <v>81</v>
      </c>
      <c r="G9" s="7">
        <f>SUM('Cost Build-Up'!$BX$5:$BX$77)</f>
        <v>1285904.55</v>
      </c>
      <c r="H9" s="7">
        <f>SUM('Cost Build-Up'!$BY$5:$BY$77)</f>
        <v>2702027.85</v>
      </c>
      <c r="I9" s="7">
        <f>SUM('Cost Build-Up'!$BZ$5:$BZ$77)</f>
        <v>7013848.6000000006</v>
      </c>
    </row>
    <row r="10" spans="1:9" ht="29" x14ac:dyDescent="0.35">
      <c r="A10" s="40" t="s">
        <v>82</v>
      </c>
      <c r="B10" s="40" t="s">
        <v>83</v>
      </c>
      <c r="C10" s="40" t="s">
        <v>84</v>
      </c>
      <c r="D10" s="40" t="s">
        <v>75</v>
      </c>
      <c r="E10" s="40" t="s">
        <v>76</v>
      </c>
      <c r="F10" s="40" t="s">
        <v>85</v>
      </c>
      <c r="G10" s="7">
        <f>SUM('Cost Build-Up'!$CA$5:$CA$77)</f>
        <v>1492378.2750000001</v>
      </c>
      <c r="H10" s="7">
        <f>SUM('Cost Build-Up'!$CB$5:$CB$77)</f>
        <v>3094276.35</v>
      </c>
      <c r="I10" s="7">
        <f>SUM('Cost Build-Up'!$CC$5:$CC$77)</f>
        <v>8028489.5500000007</v>
      </c>
    </row>
    <row r="11" spans="1:9" ht="29" x14ac:dyDescent="0.35">
      <c r="A11" s="40" t="s">
        <v>86</v>
      </c>
      <c r="B11" s="40" t="s">
        <v>83</v>
      </c>
      <c r="C11" s="40" t="s">
        <v>87</v>
      </c>
      <c r="D11" s="40" t="s">
        <v>80</v>
      </c>
      <c r="E11" s="40" t="s">
        <v>76</v>
      </c>
      <c r="F11" s="40" t="s">
        <v>88</v>
      </c>
      <c r="G11" s="7">
        <f>SUM('Cost Build-Up'!$CD$5:$CD$77)</f>
        <v>1548368.7750000001</v>
      </c>
      <c r="H11" s="7">
        <f>SUM('Cost Build-Up'!$CE$5:$CE$77)</f>
        <v>3208636.35</v>
      </c>
      <c r="I11" s="7">
        <f>SUM('Cost Build-Up'!$CF$5:$CF$77)</f>
        <v>8327842.0500000007</v>
      </c>
    </row>
    <row r="12" spans="1:9" ht="29" x14ac:dyDescent="0.35">
      <c r="A12" s="40" t="s">
        <v>89</v>
      </c>
      <c r="B12" s="40" t="s">
        <v>90</v>
      </c>
      <c r="C12" s="40" t="s">
        <v>91</v>
      </c>
      <c r="D12" s="40" t="s">
        <v>75</v>
      </c>
      <c r="E12" s="40" t="s">
        <v>76</v>
      </c>
      <c r="F12" s="40" t="s">
        <v>92</v>
      </c>
      <c r="G12" s="7">
        <f>SUM('Cost Build-Up'!$CG$5:$CG$77)</f>
        <v>977031.375</v>
      </c>
      <c r="H12" s="7">
        <f>SUM('Cost Build-Up'!$CH$5:$CH$77)</f>
        <v>2187904.4500000002</v>
      </c>
      <c r="I12" s="7">
        <f>SUM('Cost Build-Up'!$CI$5:$CI$77)</f>
        <v>5846278.0500000007</v>
      </c>
    </row>
    <row r="13" spans="1:9" ht="29" x14ac:dyDescent="0.35">
      <c r="A13" s="40" t="s">
        <v>93</v>
      </c>
      <c r="B13" s="40" t="s">
        <v>90</v>
      </c>
      <c r="C13" s="40" t="s">
        <v>94</v>
      </c>
      <c r="D13" s="40" t="s">
        <v>80</v>
      </c>
      <c r="E13" s="40" t="s">
        <v>76</v>
      </c>
      <c r="F13" s="40" t="s">
        <v>95</v>
      </c>
      <c r="G13" s="7">
        <f>SUM('Cost Build-Up'!$CJ$5:$CJ$77)</f>
        <v>1033021.875</v>
      </c>
      <c r="H13" s="7">
        <f>SUM('Cost Build-Up'!$CK$5:$CK$77)</f>
        <v>2302264.4500000002</v>
      </c>
      <c r="I13" s="7">
        <f>SUM('Cost Build-Up'!$CL$5:$CL$77)</f>
        <v>6145630.5500000007</v>
      </c>
    </row>
    <row r="14" spans="1:9" x14ac:dyDescent="0.35">
      <c r="A14" s="42"/>
      <c r="B14" s="42"/>
      <c r="C14" s="42"/>
      <c r="D14" s="42"/>
      <c r="E14" s="42"/>
      <c r="F14" s="42"/>
    </row>
    <row r="15" spans="1:9" ht="12.4" customHeight="1" x14ac:dyDescent="0.35">
      <c r="A15" s="94" t="s">
        <v>96</v>
      </c>
      <c r="B15" s="95"/>
      <c r="C15" s="95"/>
      <c r="D15" s="95"/>
      <c r="E15" s="95"/>
      <c r="F15" s="95"/>
      <c r="G15" s="95"/>
      <c r="H15" s="95"/>
      <c r="I15" s="95"/>
    </row>
    <row r="16" spans="1:9" ht="12.4" customHeight="1" x14ac:dyDescent="0.35">
      <c r="A16" s="62" t="s">
        <v>97</v>
      </c>
      <c r="B16" s="63"/>
      <c r="C16" s="63"/>
      <c r="D16" s="63"/>
      <c r="E16" s="63"/>
      <c r="F16" s="63"/>
      <c r="G16" s="63"/>
      <c r="H16" s="63"/>
      <c r="I16" s="63"/>
    </row>
    <row r="17" spans="1:9" ht="12.4" customHeight="1" x14ac:dyDescent="0.35">
      <c r="A17" s="14"/>
      <c r="B17" s="15"/>
      <c r="C17" s="15"/>
      <c r="D17" s="15"/>
      <c r="E17" s="15"/>
      <c r="F17" s="15"/>
      <c r="G17" s="15"/>
      <c r="H17" s="15"/>
      <c r="I17" s="15"/>
    </row>
    <row r="18" spans="1:9" x14ac:dyDescent="0.35">
      <c r="A18" s="9" t="s">
        <v>98</v>
      </c>
      <c r="B18" s="9" t="s">
        <v>99</v>
      </c>
      <c r="C18" s="9" t="s">
        <v>100</v>
      </c>
      <c r="D18" s="9" t="s">
        <v>101</v>
      </c>
      <c r="E18" s="9" t="s">
        <v>102</v>
      </c>
      <c r="F18" s="9" t="s">
        <v>103</v>
      </c>
      <c r="G18" s="9" t="s">
        <v>69</v>
      </c>
      <c r="H18" s="9" t="s">
        <v>70</v>
      </c>
      <c r="I18" s="9" t="s">
        <v>71</v>
      </c>
    </row>
    <row r="19" spans="1:9" ht="29" x14ac:dyDescent="0.35">
      <c r="A19" s="44" t="s">
        <v>104</v>
      </c>
      <c r="B19" s="44" t="s">
        <v>105</v>
      </c>
      <c r="C19" s="40" t="s">
        <v>106</v>
      </c>
      <c r="D19" s="44" t="s">
        <v>107</v>
      </c>
      <c r="E19" s="44" t="s">
        <v>108</v>
      </c>
      <c r="F19" s="44" t="s">
        <v>109</v>
      </c>
      <c r="G19" s="12">
        <f>SUM('Optional Add-Ons Build-Up'!M5, 'Optional Add-Ons Build-Up'!P5)</f>
        <v>170000</v>
      </c>
      <c r="H19" s="12">
        <f>SUM('Optional Add-Ons Build-Up'!N5, 'Optional Add-Ons Build-Up'!Q5)</f>
        <v>370000</v>
      </c>
      <c r="I19" s="12">
        <f>SUM('Optional Add-Ons Build-Up'!O5, 'Optional Add-Ons Build-Up'!R5)</f>
        <v>750000</v>
      </c>
    </row>
    <row r="20" spans="1:9" ht="29" x14ac:dyDescent="0.35">
      <c r="A20" s="44" t="s">
        <v>110</v>
      </c>
      <c r="B20" s="44" t="s">
        <v>111</v>
      </c>
      <c r="C20" s="40" t="s">
        <v>112</v>
      </c>
      <c r="D20" s="44" t="s">
        <v>113</v>
      </c>
      <c r="E20" s="44" t="s">
        <v>108</v>
      </c>
      <c r="F20" s="44" t="s">
        <v>114</v>
      </c>
      <c r="G20" s="12">
        <f>SUM('Optional Add-Ons Build-Up'!M6, 'Optional Add-Ons Build-Up'!P6)</f>
        <v>60000</v>
      </c>
      <c r="H20" s="12">
        <f>SUM('Optional Add-Ons Build-Up'!N6, 'Optional Add-Ons Build-Up'!Q6)</f>
        <v>135000</v>
      </c>
      <c r="I20" s="12">
        <f>SUM('Optional Add-Ons Build-Up'!O6, 'Optional Add-Ons Build-Up'!R6)</f>
        <v>320000</v>
      </c>
    </row>
    <row r="21" spans="1:9" ht="29" x14ac:dyDescent="0.35">
      <c r="A21" s="44" t="s">
        <v>115</v>
      </c>
      <c r="B21" s="44" t="s">
        <v>116</v>
      </c>
      <c r="C21" s="40" t="s">
        <v>117</v>
      </c>
      <c r="D21" s="44" t="s">
        <v>118</v>
      </c>
      <c r="E21" s="44" t="s">
        <v>108</v>
      </c>
      <c r="F21" s="44" t="s">
        <v>119</v>
      </c>
      <c r="G21" s="12">
        <f>SUM('Optional Add-Ons Build-Up'!M7, 'Optional Add-Ons Build-Up'!P7)</f>
        <v>175000</v>
      </c>
      <c r="H21" s="12">
        <f>SUM('Optional Add-Ons Build-Up'!N7, 'Optional Add-Ons Build-Up'!Q7)</f>
        <v>420000</v>
      </c>
      <c r="I21" s="12">
        <f>SUM('Optional Add-Ons Build-Up'!O7, 'Optional Add-Ons Build-Up'!R7)</f>
        <v>950000</v>
      </c>
    </row>
    <row r="22" spans="1:9" ht="29" x14ac:dyDescent="0.35">
      <c r="A22" s="40" t="s">
        <v>120</v>
      </c>
      <c r="B22" s="40" t="s">
        <v>121</v>
      </c>
      <c r="C22" s="40" t="s">
        <v>122</v>
      </c>
      <c r="D22" s="44" t="s">
        <v>107</v>
      </c>
      <c r="E22" s="44" t="s">
        <v>123</v>
      </c>
      <c r="F22" s="44" t="s">
        <v>124</v>
      </c>
      <c r="G22" s="12">
        <f>SUM('Optional Add-Ons Build-Up'!M8, 'Optional Add-Ons Build-Up'!P8)</f>
        <v>30000</v>
      </c>
      <c r="H22" s="12">
        <f>SUM('Optional Add-Ons Build-Up'!N8, 'Optional Add-Ons Build-Up'!Q8)</f>
        <v>65000</v>
      </c>
      <c r="I22" s="12">
        <f>SUM('Optional Add-Ons Build-Up'!O8, 'Optional Add-Ons Build-Up'!R8)</f>
        <v>135000</v>
      </c>
    </row>
    <row r="23" spans="1:9" x14ac:dyDescent="0.35">
      <c r="A23" s="40" t="s">
        <v>125</v>
      </c>
      <c r="B23" s="40" t="s">
        <v>126</v>
      </c>
      <c r="C23" s="40" t="s">
        <v>127</v>
      </c>
      <c r="D23" s="44" t="s">
        <v>107</v>
      </c>
      <c r="E23" s="44" t="s">
        <v>123</v>
      </c>
      <c r="F23" s="44" t="s">
        <v>124</v>
      </c>
      <c r="G23" s="12">
        <f>SUM('Optional Add-Ons Build-Up'!M9, 'Optional Add-Ons Build-Up'!P9)</f>
        <v>14000</v>
      </c>
      <c r="H23" s="12">
        <f>SUM('Optional Add-Ons Build-Up'!N9, 'Optional Add-Ons Build-Up'!Q9)</f>
        <v>31000</v>
      </c>
      <c r="I23" s="12">
        <f>SUM('Optional Add-Ons Build-Up'!O9, 'Optional Add-Ons Build-Up'!R9)</f>
        <v>65000</v>
      </c>
    </row>
    <row r="24" spans="1:9" ht="29" x14ac:dyDescent="0.35">
      <c r="A24" s="40" t="s">
        <v>128</v>
      </c>
      <c r="B24" s="40" t="s">
        <v>129</v>
      </c>
      <c r="C24" s="40" t="s">
        <v>130</v>
      </c>
      <c r="D24" s="44" t="s">
        <v>107</v>
      </c>
      <c r="E24" s="44" t="s">
        <v>123</v>
      </c>
      <c r="F24" s="44" t="s">
        <v>131</v>
      </c>
      <c r="G24" s="12">
        <f>SUM('Optional Add-Ons Build-Up'!M10, 'Optional Add-Ons Build-Up'!P10)</f>
        <v>60000</v>
      </c>
      <c r="H24" s="12">
        <f>SUM('Optional Add-Ons Build-Up'!N10, 'Optional Add-Ons Build-Up'!Q10)</f>
        <v>125000</v>
      </c>
      <c r="I24" s="12">
        <f>SUM('Optional Add-Ons Build-Up'!O10, 'Optional Add-Ons Build-Up'!R10)</f>
        <v>260000</v>
      </c>
    </row>
    <row r="25" spans="1:9" ht="29" x14ac:dyDescent="0.35">
      <c r="A25" s="40" t="s">
        <v>132</v>
      </c>
      <c r="B25" s="40" t="s">
        <v>133</v>
      </c>
      <c r="C25" s="40" t="s">
        <v>134</v>
      </c>
      <c r="D25" s="44" t="s">
        <v>107</v>
      </c>
      <c r="E25" s="44" t="s">
        <v>123</v>
      </c>
      <c r="F25" s="44" t="s">
        <v>131</v>
      </c>
      <c r="G25" s="12">
        <f>SUM('Optional Add-Ons Build-Up'!M11, 'Optional Add-Ons Build-Up'!P11)</f>
        <v>50000</v>
      </c>
      <c r="H25" s="12">
        <f>SUM('Optional Add-Ons Build-Up'!N11, 'Optional Add-Ons Build-Up'!Q11)</f>
        <v>105000</v>
      </c>
      <c r="I25" s="12">
        <f>SUM('Optional Add-Ons Build-Up'!O11, 'Optional Add-Ons Build-Up'!R11)</f>
        <v>220000</v>
      </c>
    </row>
    <row r="26" spans="1:9" ht="29" x14ac:dyDescent="0.35">
      <c r="A26" s="40" t="s">
        <v>135</v>
      </c>
      <c r="B26" s="40" t="s">
        <v>136</v>
      </c>
      <c r="C26" s="40" t="s">
        <v>137</v>
      </c>
      <c r="D26" s="44" t="s">
        <v>107</v>
      </c>
      <c r="E26" s="44" t="s">
        <v>123</v>
      </c>
      <c r="F26" s="44" t="s">
        <v>138</v>
      </c>
      <c r="G26" s="12">
        <f>SUM('Optional Add-Ons Build-Up'!M12, 'Optional Add-Ons Build-Up'!P12)</f>
        <v>40000</v>
      </c>
      <c r="H26" s="12">
        <f>SUM('Optional Add-Ons Build-Up'!N12, 'Optional Add-Ons Build-Up'!Q12)</f>
        <v>95000</v>
      </c>
      <c r="I26" s="12">
        <f>SUM('Optional Add-Ons Build-Up'!O12, 'Optional Add-Ons Build-Up'!R12)</f>
        <v>230000</v>
      </c>
    </row>
    <row r="27" spans="1:9" ht="29" x14ac:dyDescent="0.35">
      <c r="A27" s="40" t="s">
        <v>139</v>
      </c>
      <c r="B27" s="40" t="s">
        <v>140</v>
      </c>
      <c r="C27" s="40" t="s">
        <v>141</v>
      </c>
      <c r="D27" s="44" t="s">
        <v>107</v>
      </c>
      <c r="E27" s="44" t="s">
        <v>142</v>
      </c>
      <c r="F27" s="44" t="s">
        <v>143</v>
      </c>
      <c r="G27" s="12">
        <f>SUM('Optional Add-Ons Build-Up'!M13, 'Optional Add-Ons Build-Up'!P13)</f>
        <v>-240000</v>
      </c>
      <c r="H27" s="12">
        <f>SUM('Optional Add-Ons Build-Up'!N13, 'Optional Add-Ons Build-Up'!Q13)</f>
        <v>-440000</v>
      </c>
      <c r="I27" s="12">
        <f>SUM('Optional Add-Ons Build-Up'!O13, 'Optional Add-Ons Build-Up'!R13)</f>
        <v>-740000</v>
      </c>
    </row>
    <row r="28" spans="1:9" ht="43.5" x14ac:dyDescent="0.35">
      <c r="A28" s="40" t="s">
        <v>144</v>
      </c>
      <c r="B28" s="40" t="s">
        <v>145</v>
      </c>
      <c r="C28" s="40" t="s">
        <v>146</v>
      </c>
      <c r="D28" s="44" t="s">
        <v>107</v>
      </c>
      <c r="E28" s="13" t="s">
        <v>123</v>
      </c>
      <c r="G28" s="12">
        <f>SUM('Optional Add-Ons Build-Up'!M14, 'Optional Add-Ons Build-Up'!P14)</f>
        <v>130000</v>
      </c>
      <c r="H28" s="12">
        <f>SUM('Optional Add-Ons Build-Up'!N14, 'Optional Add-Ons Build-Up'!Q14)</f>
        <v>330000</v>
      </c>
      <c r="I28" s="12">
        <f>SUM('Optional Add-Ons Build-Up'!O14, 'Optional Add-Ons Build-Up'!R14)</f>
        <v>800000</v>
      </c>
    </row>
    <row r="29" spans="1:9" ht="29" x14ac:dyDescent="0.35">
      <c r="A29" s="40" t="s">
        <v>147</v>
      </c>
      <c r="B29" s="40" t="s">
        <v>148</v>
      </c>
      <c r="C29" s="40" t="s">
        <v>149</v>
      </c>
      <c r="D29" s="44" t="s">
        <v>107</v>
      </c>
      <c r="E29" s="13" t="s">
        <v>123</v>
      </c>
      <c r="G29" s="12">
        <f>SUM('Optional Add-Ons Build-Up'!M15, 'Optional Add-Ons Build-Up'!P15)</f>
        <v>110000</v>
      </c>
      <c r="H29" s="12">
        <f>SUM('Optional Add-Ons Build-Up'!N15, 'Optional Add-Ons Build-Up'!Q15)</f>
        <v>260000</v>
      </c>
      <c r="I29" s="12">
        <f>SUM('Optional Add-Ons Build-Up'!O15, 'Optional Add-Ons Build-Up'!R15)</f>
        <v>650000</v>
      </c>
    </row>
    <row r="30" spans="1:9" ht="29" x14ac:dyDescent="0.35">
      <c r="A30" s="40" t="s">
        <v>150</v>
      </c>
      <c r="B30" s="40" t="s">
        <v>151</v>
      </c>
      <c r="C30" s="40" t="s">
        <v>152</v>
      </c>
      <c r="D30" s="44" t="s">
        <v>107</v>
      </c>
      <c r="E30" s="13" t="s">
        <v>123</v>
      </c>
      <c r="G30" s="12">
        <f>SUM('Optional Add-Ons Build-Up'!M16, 'Optional Add-Ons Build-Up'!P16)</f>
        <v>45000</v>
      </c>
      <c r="H30" s="12">
        <f>SUM('Optional Add-Ons Build-Up'!N16, 'Optional Add-Ons Build-Up'!Q16)</f>
        <v>105000</v>
      </c>
      <c r="I30" s="12">
        <f>SUM('Optional Add-Ons Build-Up'!O16, 'Optional Add-Ons Build-Up'!R16)</f>
        <v>240000</v>
      </c>
    </row>
  </sheetData>
  <mergeCells count="4">
    <mergeCell ref="A16:I16"/>
    <mergeCell ref="A1:F1"/>
    <mergeCell ref="A2:F3"/>
    <mergeCell ref="A15:I15"/>
  </mergeCells>
  <dataValidations count="1">
    <dataValidation type="list" sqref="C5" xr:uid="{00000000-0002-0000-0100-000000000000}">
      <formula1>"1A,1B,2A,2B,3A,3B"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7"/>
  <sheetViews>
    <sheetView topLeftCell="A98" workbookViewId="0">
      <selection activeCell="D68" sqref="D68"/>
    </sheetView>
  </sheetViews>
  <sheetFormatPr defaultRowHeight="14.5" x14ac:dyDescent="0.35"/>
  <cols>
    <col min="1" max="1" width="40" customWidth="1"/>
    <col min="2" max="2" width="19.453125" customWidth="1"/>
    <col min="3" max="4" width="16" customWidth="1"/>
    <col min="5" max="5" width="18.26953125" customWidth="1"/>
    <col min="6" max="6" width="39.81640625" customWidth="1"/>
    <col min="7" max="7" width="34" customWidth="1"/>
    <col min="8" max="8" width="29.26953125" customWidth="1"/>
    <col min="9" max="9" width="21.81640625" customWidth="1"/>
    <col min="10" max="10" width="12.26953125" customWidth="1"/>
    <col min="11" max="13" width="14" customWidth="1"/>
    <col min="14" max="14" width="22" customWidth="1"/>
    <col min="15" max="15" width="46" customWidth="1"/>
    <col min="16" max="16" width="22" customWidth="1"/>
    <col min="17" max="17" width="32" customWidth="1"/>
    <col min="18" max="18" width="16" customWidth="1"/>
    <col min="19" max="19" width="30" customWidth="1"/>
    <col min="20" max="20" width="15" customWidth="1"/>
    <col min="21" max="21" width="12" customWidth="1"/>
    <col min="22" max="22" width="15" customWidth="1"/>
    <col min="23" max="23" width="10" customWidth="1"/>
    <col min="24" max="24" width="18" customWidth="1"/>
    <col min="25" max="26" width="12" customWidth="1"/>
  </cols>
  <sheetData>
    <row r="1" spans="1:7" ht="21" x14ac:dyDescent="0.35">
      <c r="A1" s="83" t="s">
        <v>1530</v>
      </c>
      <c r="B1" s="61"/>
      <c r="C1" s="61"/>
      <c r="D1" s="61"/>
      <c r="E1" s="84"/>
      <c r="F1" s="84"/>
      <c r="G1" s="84"/>
    </row>
    <row r="2" spans="1:7" x14ac:dyDescent="0.35">
      <c r="A2" s="42"/>
      <c r="B2" s="42"/>
      <c r="C2" s="42"/>
      <c r="D2" s="42"/>
      <c r="E2" s="42"/>
      <c r="F2" s="42"/>
      <c r="G2" s="42"/>
    </row>
    <row r="3" spans="1:7" x14ac:dyDescent="0.35">
      <c r="A3" s="41" t="s">
        <v>228</v>
      </c>
      <c r="B3" s="41"/>
      <c r="C3" s="41"/>
      <c r="D3" s="41"/>
      <c r="E3" s="42"/>
    </row>
    <row r="4" spans="1:7" x14ac:dyDescent="0.35">
      <c r="A4" s="9" t="s">
        <v>230</v>
      </c>
      <c r="B4" s="9" t="s">
        <v>231</v>
      </c>
      <c r="C4" s="9" t="s">
        <v>232</v>
      </c>
      <c r="D4" s="9" t="s">
        <v>233</v>
      </c>
      <c r="E4" s="42"/>
    </row>
    <row r="5" spans="1:7" ht="29" x14ac:dyDescent="0.35">
      <c r="A5" s="40" t="s">
        <v>237</v>
      </c>
      <c r="B5" s="40" t="s">
        <v>238</v>
      </c>
      <c r="C5" s="40" t="s">
        <v>239</v>
      </c>
      <c r="D5" s="40" t="s">
        <v>240</v>
      </c>
      <c r="E5" s="42"/>
    </row>
    <row r="6" spans="1:7" ht="58" x14ac:dyDescent="0.35">
      <c r="A6" s="40" t="s">
        <v>245</v>
      </c>
      <c r="B6" s="40" t="s">
        <v>238</v>
      </c>
      <c r="C6" s="40" t="s">
        <v>246</v>
      </c>
      <c r="D6" s="40" t="s">
        <v>7</v>
      </c>
      <c r="E6" s="42"/>
    </row>
    <row r="7" spans="1:7" ht="43.5" x14ac:dyDescent="0.35">
      <c r="A7" s="40" t="s">
        <v>251</v>
      </c>
      <c r="B7" s="40" t="s">
        <v>252</v>
      </c>
      <c r="C7" s="40" t="s">
        <v>253</v>
      </c>
      <c r="D7" s="40" t="s">
        <v>254</v>
      </c>
      <c r="E7" s="42"/>
    </row>
    <row r="8" spans="1:7" ht="43.5" x14ac:dyDescent="0.35">
      <c r="A8" s="40" t="s">
        <v>259</v>
      </c>
      <c r="B8" s="40" t="s">
        <v>260</v>
      </c>
      <c r="C8" s="40" t="s">
        <v>261</v>
      </c>
      <c r="D8" s="40" t="s">
        <v>262</v>
      </c>
      <c r="E8" s="42"/>
    </row>
    <row r="9" spans="1:7" ht="43.5" x14ac:dyDescent="0.35">
      <c r="A9" s="40" t="s">
        <v>267</v>
      </c>
      <c r="B9" s="40" t="s">
        <v>252</v>
      </c>
      <c r="C9" s="40" t="s">
        <v>268</v>
      </c>
      <c r="D9" s="40" t="s">
        <v>254</v>
      </c>
      <c r="E9" s="42"/>
    </row>
    <row r="10" spans="1:7" ht="43.5" x14ac:dyDescent="0.35">
      <c r="A10" s="40" t="s">
        <v>273</v>
      </c>
      <c r="B10" s="40" t="s">
        <v>260</v>
      </c>
      <c r="C10" s="40" t="s">
        <v>274</v>
      </c>
      <c r="D10" s="40" t="s">
        <v>262</v>
      </c>
      <c r="E10" s="42"/>
    </row>
    <row r="11" spans="1:7" ht="43.5" x14ac:dyDescent="0.35">
      <c r="A11" s="40" t="s">
        <v>279</v>
      </c>
      <c r="B11" s="40" t="s">
        <v>238</v>
      </c>
      <c r="C11" s="40" t="s">
        <v>280</v>
      </c>
      <c r="D11" s="40" t="s">
        <v>7</v>
      </c>
      <c r="E11" s="42"/>
      <c r="F11" s="42"/>
      <c r="G11" s="42"/>
    </row>
    <row r="12" spans="1:7" ht="43.5" x14ac:dyDescent="0.35">
      <c r="A12" s="40" t="s">
        <v>281</v>
      </c>
      <c r="B12" s="40" t="s">
        <v>282</v>
      </c>
      <c r="C12" s="40" t="s">
        <v>283</v>
      </c>
      <c r="D12" s="40" t="s">
        <v>250</v>
      </c>
      <c r="E12" s="42"/>
      <c r="F12" s="42"/>
      <c r="G12" s="42"/>
    </row>
    <row r="13" spans="1:7" ht="58" x14ac:dyDescent="0.35">
      <c r="A13" s="40" t="s">
        <v>284</v>
      </c>
      <c r="B13" s="40" t="s">
        <v>238</v>
      </c>
      <c r="C13" s="40" t="s">
        <v>285</v>
      </c>
      <c r="D13" s="40" t="s">
        <v>286</v>
      </c>
      <c r="E13" s="42"/>
      <c r="F13" s="42"/>
      <c r="G13" s="42"/>
    </row>
    <row r="14" spans="1:7" ht="29" x14ac:dyDescent="0.35">
      <c r="A14" s="40" t="s">
        <v>287</v>
      </c>
      <c r="B14" s="40" t="s">
        <v>252</v>
      </c>
      <c r="C14" s="40" t="s">
        <v>288</v>
      </c>
      <c r="D14" s="40" t="s">
        <v>289</v>
      </c>
      <c r="E14" s="42"/>
      <c r="F14" s="42"/>
      <c r="G14" s="42"/>
    </row>
    <row r="15" spans="1:7" ht="43.5" x14ac:dyDescent="0.35">
      <c r="A15" s="40" t="s">
        <v>290</v>
      </c>
      <c r="B15" s="40" t="s">
        <v>238</v>
      </c>
      <c r="C15" s="40" t="s">
        <v>291</v>
      </c>
      <c r="D15" s="40" t="s">
        <v>7</v>
      </c>
      <c r="E15" s="42"/>
      <c r="F15" s="42"/>
      <c r="G15" s="42"/>
    </row>
    <row r="16" spans="1:7" ht="43.5" x14ac:dyDescent="0.35">
      <c r="A16" s="40" t="s">
        <v>292</v>
      </c>
      <c r="B16" s="40" t="s">
        <v>238</v>
      </c>
      <c r="C16" s="40" t="s">
        <v>293</v>
      </c>
      <c r="D16" s="40" t="s">
        <v>240</v>
      </c>
      <c r="E16" s="42"/>
      <c r="F16" s="42"/>
      <c r="G16" s="42"/>
    </row>
    <row r="17" spans="1:7" x14ac:dyDescent="0.35">
      <c r="A17" s="40"/>
      <c r="B17" s="40"/>
      <c r="C17" s="40"/>
      <c r="D17" s="40"/>
      <c r="E17" s="42"/>
      <c r="F17" s="42"/>
      <c r="G17" s="42"/>
    </row>
    <row r="18" spans="1:7" x14ac:dyDescent="0.35">
      <c r="A18" s="52" t="s">
        <v>229</v>
      </c>
      <c r="B18" s="41"/>
      <c r="C18" s="41"/>
      <c r="D18" s="41"/>
      <c r="E18" s="42"/>
      <c r="F18" s="42"/>
      <c r="G18" s="42"/>
    </row>
    <row r="19" spans="1:7" ht="29" x14ac:dyDescent="0.35">
      <c r="A19" s="9" t="s">
        <v>99</v>
      </c>
      <c r="B19" s="9" t="s">
        <v>234</v>
      </c>
      <c r="C19" s="9" t="s">
        <v>235</v>
      </c>
      <c r="D19" s="9" t="s">
        <v>236</v>
      </c>
      <c r="E19" s="42"/>
      <c r="F19" s="42"/>
      <c r="G19" s="42"/>
    </row>
    <row r="20" spans="1:7" ht="58" x14ac:dyDescent="0.35">
      <c r="A20" s="40" t="s">
        <v>241</v>
      </c>
      <c r="B20" s="40" t="s">
        <v>242</v>
      </c>
      <c r="C20" s="40" t="s">
        <v>243</v>
      </c>
      <c r="D20" s="40" t="s">
        <v>244</v>
      </c>
      <c r="E20" s="42"/>
      <c r="F20" s="42"/>
      <c r="G20" s="42"/>
    </row>
    <row r="21" spans="1:7" ht="72.5" x14ac:dyDescent="0.35">
      <c r="A21" s="40" t="s">
        <v>247</v>
      </c>
      <c r="B21" s="40" t="s">
        <v>248</v>
      </c>
      <c r="C21" s="40" t="s">
        <v>249</v>
      </c>
      <c r="D21" s="40" t="s">
        <v>250</v>
      </c>
      <c r="E21" s="42"/>
      <c r="F21" s="42"/>
      <c r="G21" s="42"/>
    </row>
    <row r="22" spans="1:7" ht="58" x14ac:dyDescent="0.35">
      <c r="A22" s="40" t="s">
        <v>255</v>
      </c>
      <c r="B22" s="40" t="s">
        <v>256</v>
      </c>
      <c r="C22" s="40" t="s">
        <v>257</v>
      </c>
      <c r="D22" s="40" t="s">
        <v>258</v>
      </c>
      <c r="E22" s="42"/>
      <c r="F22" s="42"/>
      <c r="G22" s="42"/>
    </row>
    <row r="23" spans="1:7" ht="58" x14ac:dyDescent="0.35">
      <c r="A23" s="40" t="s">
        <v>263</v>
      </c>
      <c r="B23" s="40" t="s">
        <v>264</v>
      </c>
      <c r="C23" s="40" t="s">
        <v>265</v>
      </c>
      <c r="D23" s="40" t="s">
        <v>266</v>
      </c>
      <c r="E23" s="42"/>
      <c r="F23" s="42"/>
      <c r="G23" s="42"/>
    </row>
    <row r="24" spans="1:7" ht="58" x14ac:dyDescent="0.35">
      <c r="A24" s="40" t="s">
        <v>269</v>
      </c>
      <c r="B24" s="40" t="s">
        <v>270</v>
      </c>
      <c r="C24" s="40" t="s">
        <v>271</v>
      </c>
      <c r="D24" s="40" t="s">
        <v>272</v>
      </c>
      <c r="E24" s="42"/>
      <c r="F24" s="42"/>
      <c r="G24" s="42"/>
    </row>
    <row r="25" spans="1:7" ht="43.5" x14ac:dyDescent="0.35">
      <c r="A25" s="40" t="s">
        <v>275</v>
      </c>
      <c r="B25" s="40" t="s">
        <v>276</v>
      </c>
      <c r="C25" s="40" t="s">
        <v>277</v>
      </c>
      <c r="D25" s="40" t="s">
        <v>278</v>
      </c>
      <c r="E25" s="42"/>
      <c r="F25" s="42"/>
      <c r="G25" s="42"/>
    </row>
    <row r="26" spans="1:7" x14ac:dyDescent="0.35">
      <c r="A26" s="40"/>
      <c r="B26" s="40"/>
      <c r="C26" s="40"/>
      <c r="D26" s="40"/>
      <c r="E26" s="42"/>
      <c r="F26" s="42"/>
      <c r="G26" s="42"/>
    </row>
    <row r="27" spans="1:7" x14ac:dyDescent="0.35">
      <c r="A27" s="42"/>
      <c r="B27" s="42"/>
      <c r="C27" s="42"/>
      <c r="D27" s="42"/>
      <c r="E27" s="42"/>
      <c r="F27" s="42"/>
      <c r="G27" s="42"/>
    </row>
    <row r="28" spans="1:7" x14ac:dyDescent="0.35">
      <c r="A28" s="81" t="s">
        <v>294</v>
      </c>
      <c r="B28" s="81"/>
      <c r="C28" s="81"/>
      <c r="D28" s="81"/>
      <c r="E28" s="81"/>
      <c r="F28" s="81"/>
      <c r="G28" s="82"/>
    </row>
    <row r="29" spans="1:7" ht="9.65" customHeight="1" x14ac:dyDescent="0.35">
      <c r="A29" s="54" t="s">
        <v>295</v>
      </c>
      <c r="B29" s="54"/>
      <c r="C29" s="54"/>
      <c r="D29" s="54"/>
      <c r="E29" s="54"/>
      <c r="F29" s="54"/>
      <c r="G29" s="54"/>
    </row>
    <row r="30" spans="1:7" x14ac:dyDescent="0.35">
      <c r="A30" s="9" t="s">
        <v>296</v>
      </c>
      <c r="B30" s="9" t="s">
        <v>207</v>
      </c>
      <c r="C30" s="9" t="s">
        <v>34</v>
      </c>
      <c r="D30" s="9" t="s">
        <v>35</v>
      </c>
      <c r="E30" s="9" t="s">
        <v>36</v>
      </c>
      <c r="F30" s="9" t="s">
        <v>297</v>
      </c>
      <c r="G30" s="9" t="s">
        <v>298</v>
      </c>
    </row>
    <row r="31" spans="1:7" x14ac:dyDescent="0.35">
      <c r="A31" s="3" t="s">
        <v>299</v>
      </c>
      <c r="B31" s="3" t="s">
        <v>208</v>
      </c>
      <c r="C31" s="11">
        <v>1</v>
      </c>
      <c r="D31" s="11">
        <v>1</v>
      </c>
      <c r="E31" s="11">
        <v>1</v>
      </c>
      <c r="F31" s="3" t="s">
        <v>210</v>
      </c>
      <c r="G31" s="40" t="s">
        <v>300</v>
      </c>
    </row>
    <row r="32" spans="1:7" x14ac:dyDescent="0.35">
      <c r="A32" s="3" t="s">
        <v>301</v>
      </c>
      <c r="B32" s="3" t="s">
        <v>211</v>
      </c>
      <c r="C32" s="11">
        <v>5</v>
      </c>
      <c r="D32" s="11">
        <v>10</v>
      </c>
      <c r="E32" s="11">
        <v>20</v>
      </c>
      <c r="F32" s="3" t="s">
        <v>212</v>
      </c>
      <c r="G32" s="40" t="s">
        <v>300</v>
      </c>
    </row>
    <row r="33" spans="1:7" ht="29" x14ac:dyDescent="0.35">
      <c r="A33" s="3" t="s">
        <v>302</v>
      </c>
      <c r="B33" s="3" t="s">
        <v>213</v>
      </c>
      <c r="C33" s="11">
        <v>1</v>
      </c>
      <c r="D33" s="11">
        <v>2</v>
      </c>
      <c r="E33" s="11">
        <v>5</v>
      </c>
      <c r="F33" s="3" t="s">
        <v>212</v>
      </c>
      <c r="G33" s="40" t="s">
        <v>300</v>
      </c>
    </row>
    <row r="34" spans="1:7" ht="29" x14ac:dyDescent="0.35">
      <c r="A34" s="3" t="s">
        <v>303</v>
      </c>
      <c r="B34" s="3" t="s">
        <v>304</v>
      </c>
      <c r="C34" s="11">
        <v>6</v>
      </c>
      <c r="D34" s="11">
        <v>12</v>
      </c>
      <c r="E34" s="11">
        <v>25</v>
      </c>
      <c r="F34" s="3" t="s">
        <v>212</v>
      </c>
      <c r="G34" s="40" t="s">
        <v>305</v>
      </c>
    </row>
    <row r="35" spans="1:7" x14ac:dyDescent="0.35">
      <c r="A35" s="3" t="s">
        <v>306</v>
      </c>
      <c r="B35" s="3" t="s">
        <v>214</v>
      </c>
      <c r="C35" s="11">
        <v>3</v>
      </c>
      <c r="D35" s="11">
        <v>5</v>
      </c>
      <c r="E35" s="11">
        <v>8</v>
      </c>
      <c r="F35" s="3" t="s">
        <v>307</v>
      </c>
      <c r="G35" s="40" t="s">
        <v>300</v>
      </c>
    </row>
    <row r="36" spans="1:7" ht="29" x14ac:dyDescent="0.35">
      <c r="A36" s="3" t="s">
        <v>308</v>
      </c>
      <c r="B36" s="3" t="s">
        <v>309</v>
      </c>
      <c r="C36" s="11">
        <v>1</v>
      </c>
      <c r="D36" s="11">
        <v>2</v>
      </c>
      <c r="E36" s="11">
        <v>4</v>
      </c>
      <c r="F36" s="3" t="s">
        <v>307</v>
      </c>
      <c r="G36" s="40" t="s">
        <v>300</v>
      </c>
    </row>
    <row r="37" spans="1:7" ht="43.5" x14ac:dyDescent="0.35">
      <c r="A37" s="3" t="s">
        <v>310</v>
      </c>
      <c r="B37" s="3" t="s">
        <v>311</v>
      </c>
      <c r="C37" s="55">
        <f>IF(LEFT('Scenario Definitions'!$C$5,1)="1",$C$66,IF(LEFT('Scenario Definitions'!$C$5,1)="2",$C$65,0))</f>
        <v>3</v>
      </c>
      <c r="D37" s="55">
        <f>IF(LEFT('Scenario Definitions'!$C$5,1)="1",$D$66,IF(LEFT('Scenario Definitions'!$C$5,1)="2",$D$65,0))</f>
        <v>3</v>
      </c>
      <c r="E37" s="55">
        <f>IF(LEFT('Scenario Definitions'!$C$5,1)="1",$E$66,IF(LEFT('Scenario Definitions'!$C$5,1)="2",$E$65,0))</f>
        <v>5</v>
      </c>
      <c r="F37" s="3" t="s">
        <v>216</v>
      </c>
      <c r="G37" s="40" t="s">
        <v>312</v>
      </c>
    </row>
    <row r="38" spans="1:7" ht="29" x14ac:dyDescent="0.35">
      <c r="A38" s="3" t="s">
        <v>313</v>
      </c>
      <c r="B38" s="3" t="s">
        <v>314</v>
      </c>
      <c r="C38" s="11">
        <v>1</v>
      </c>
      <c r="D38" s="11">
        <v>1</v>
      </c>
      <c r="E38" s="11">
        <v>1</v>
      </c>
      <c r="F38" s="3" t="s">
        <v>315</v>
      </c>
      <c r="G38" s="40" t="s">
        <v>300</v>
      </c>
    </row>
    <row r="39" spans="1:7" ht="29" x14ac:dyDescent="0.35">
      <c r="A39" s="3" t="s">
        <v>316</v>
      </c>
      <c r="B39" s="3" t="s">
        <v>317</v>
      </c>
      <c r="C39" s="11">
        <v>1</v>
      </c>
      <c r="D39" s="11">
        <v>1</v>
      </c>
      <c r="E39" s="11">
        <v>1</v>
      </c>
      <c r="F39" s="3" t="s">
        <v>315</v>
      </c>
      <c r="G39" s="40" t="s">
        <v>300</v>
      </c>
    </row>
    <row r="40" spans="1:7" x14ac:dyDescent="0.35">
      <c r="A40" s="3" t="s">
        <v>318</v>
      </c>
      <c r="B40" s="3" t="s">
        <v>159</v>
      </c>
      <c r="C40" s="11">
        <v>3</v>
      </c>
      <c r="D40" s="11">
        <v>3</v>
      </c>
      <c r="E40" s="11">
        <v>5</v>
      </c>
      <c r="F40" s="3" t="s">
        <v>319</v>
      </c>
      <c r="G40" s="40" t="s">
        <v>300</v>
      </c>
    </row>
    <row r="41" spans="1:7" ht="29" x14ac:dyDescent="0.35">
      <c r="A41" s="3" t="s">
        <v>320</v>
      </c>
      <c r="B41" s="3" t="s">
        <v>321</v>
      </c>
      <c r="C41" s="11">
        <v>6</v>
      </c>
      <c r="D41" s="11">
        <v>11</v>
      </c>
      <c r="E41" s="11">
        <v>21</v>
      </c>
      <c r="F41" s="3" t="s">
        <v>322</v>
      </c>
      <c r="G41" s="40" t="s">
        <v>300</v>
      </c>
    </row>
    <row r="42" spans="1:7" ht="29" x14ac:dyDescent="0.35">
      <c r="A42" s="3" t="s">
        <v>323</v>
      </c>
      <c r="B42" s="3" t="s">
        <v>324</v>
      </c>
      <c r="C42" s="11">
        <v>2</v>
      </c>
      <c r="D42" s="11">
        <v>2</v>
      </c>
      <c r="E42" s="11">
        <v>3</v>
      </c>
      <c r="F42" s="3" t="s">
        <v>325</v>
      </c>
      <c r="G42" s="40" t="s">
        <v>300</v>
      </c>
    </row>
    <row r="43" spans="1:7" ht="29" x14ac:dyDescent="0.35">
      <c r="A43" s="3" t="s">
        <v>326</v>
      </c>
      <c r="B43" s="3" t="s">
        <v>327</v>
      </c>
      <c r="C43" s="11">
        <v>1</v>
      </c>
      <c r="D43" s="11">
        <v>1</v>
      </c>
      <c r="E43" s="11">
        <v>2</v>
      </c>
      <c r="F43" s="3" t="s">
        <v>328</v>
      </c>
      <c r="G43" s="40" t="s">
        <v>300</v>
      </c>
    </row>
    <row r="44" spans="1:7" x14ac:dyDescent="0.35">
      <c r="A44" s="3" t="s">
        <v>329</v>
      </c>
      <c r="B44" s="3" t="s">
        <v>330</v>
      </c>
      <c r="C44" s="11">
        <v>1</v>
      </c>
      <c r="D44" s="11">
        <v>1</v>
      </c>
      <c r="E44" s="11">
        <v>2</v>
      </c>
      <c r="F44" s="3" t="s">
        <v>331</v>
      </c>
      <c r="G44" s="40" t="s">
        <v>300</v>
      </c>
    </row>
    <row r="45" spans="1:7" ht="29" x14ac:dyDescent="0.35">
      <c r="A45" s="3" t="s">
        <v>332</v>
      </c>
      <c r="B45" s="3" t="s">
        <v>333</v>
      </c>
      <c r="C45" s="11">
        <v>1</v>
      </c>
      <c r="D45" s="11">
        <v>1</v>
      </c>
      <c r="E45" s="11">
        <v>1</v>
      </c>
      <c r="F45" s="3" t="s">
        <v>334</v>
      </c>
      <c r="G45" s="40" t="s">
        <v>300</v>
      </c>
    </row>
    <row r="46" spans="1:7" ht="29" x14ac:dyDescent="0.35">
      <c r="A46" s="3" t="s">
        <v>335</v>
      </c>
      <c r="B46" s="3" t="s">
        <v>336</v>
      </c>
      <c r="C46" s="11">
        <v>1</v>
      </c>
      <c r="D46" s="11">
        <v>1</v>
      </c>
      <c r="E46" s="11">
        <v>1</v>
      </c>
      <c r="F46" s="3" t="s">
        <v>337</v>
      </c>
      <c r="G46" s="40" t="s">
        <v>338</v>
      </c>
    </row>
    <row r="47" spans="1:7" x14ac:dyDescent="0.35">
      <c r="A47" s="3" t="s">
        <v>339</v>
      </c>
      <c r="B47" s="3" t="s">
        <v>340</v>
      </c>
      <c r="C47" s="11">
        <v>12</v>
      </c>
      <c r="D47" s="11">
        <v>12</v>
      </c>
      <c r="E47" s="11">
        <v>14</v>
      </c>
      <c r="F47" s="3" t="s">
        <v>222</v>
      </c>
      <c r="G47" s="40" t="s">
        <v>300</v>
      </c>
    </row>
    <row r="48" spans="1:7" x14ac:dyDescent="0.35">
      <c r="A48" s="3" t="s">
        <v>341</v>
      </c>
      <c r="B48" s="3" t="s">
        <v>342</v>
      </c>
      <c r="C48" s="11">
        <v>6</v>
      </c>
      <c r="D48" s="11">
        <v>9</v>
      </c>
      <c r="E48" s="11">
        <v>9</v>
      </c>
      <c r="F48" s="3" t="s">
        <v>222</v>
      </c>
      <c r="G48" s="40" t="s">
        <v>300</v>
      </c>
    </row>
    <row r="49" spans="1:7" ht="29" x14ac:dyDescent="0.35">
      <c r="A49" s="3" t="s">
        <v>343</v>
      </c>
      <c r="B49" s="3" t="s">
        <v>344</v>
      </c>
      <c r="C49" s="11">
        <v>9</v>
      </c>
      <c r="D49" s="11">
        <v>12</v>
      </c>
      <c r="E49" s="11">
        <v>18</v>
      </c>
      <c r="F49" s="3" t="s">
        <v>345</v>
      </c>
      <c r="G49" s="40" t="s">
        <v>300</v>
      </c>
    </row>
    <row r="50" spans="1:7" ht="29" x14ac:dyDescent="0.35">
      <c r="A50" s="3" t="s">
        <v>346</v>
      </c>
      <c r="B50" s="3" t="s">
        <v>347</v>
      </c>
      <c r="C50" s="11">
        <v>9</v>
      </c>
      <c r="D50" s="11">
        <v>12</v>
      </c>
      <c r="E50" s="11">
        <v>18</v>
      </c>
      <c r="F50" s="3" t="s">
        <v>345</v>
      </c>
      <c r="G50" s="40" t="s">
        <v>300</v>
      </c>
    </row>
    <row r="51" spans="1:7" x14ac:dyDescent="0.35">
      <c r="A51" s="3" t="s">
        <v>348</v>
      </c>
      <c r="B51" s="3" t="s">
        <v>349</v>
      </c>
      <c r="C51" s="11">
        <v>3</v>
      </c>
      <c r="D51" s="11">
        <v>4</v>
      </c>
      <c r="E51" s="11">
        <v>6</v>
      </c>
      <c r="F51" s="3" t="s">
        <v>345</v>
      </c>
      <c r="G51" s="40" t="s">
        <v>300</v>
      </c>
    </row>
    <row r="52" spans="1:7" ht="29" x14ac:dyDescent="0.35">
      <c r="A52" s="3" t="s">
        <v>350</v>
      </c>
      <c r="B52" s="3" t="s">
        <v>351</v>
      </c>
      <c r="C52" s="11">
        <v>2</v>
      </c>
      <c r="D52" s="11">
        <v>3</v>
      </c>
      <c r="E52" s="11">
        <v>4</v>
      </c>
      <c r="F52" s="3" t="s">
        <v>345</v>
      </c>
      <c r="G52" s="40" t="s">
        <v>300</v>
      </c>
    </row>
    <row r="53" spans="1:7" x14ac:dyDescent="0.35">
      <c r="A53" s="3" t="s">
        <v>352</v>
      </c>
      <c r="B53" s="3" t="s">
        <v>223</v>
      </c>
      <c r="C53" s="11">
        <v>1</v>
      </c>
      <c r="D53" s="11">
        <v>2</v>
      </c>
      <c r="E53" s="11">
        <v>4</v>
      </c>
      <c r="F53" s="3" t="s">
        <v>345</v>
      </c>
      <c r="G53" s="40" t="s">
        <v>300</v>
      </c>
    </row>
    <row r="54" spans="1:7" ht="29" x14ac:dyDescent="0.35">
      <c r="A54" s="3" t="s">
        <v>353</v>
      </c>
      <c r="B54" s="3" t="s">
        <v>354</v>
      </c>
      <c r="C54" s="11">
        <v>3</v>
      </c>
      <c r="D54" s="11">
        <v>10</v>
      </c>
      <c r="E54" s="11">
        <v>32</v>
      </c>
      <c r="F54" s="3" t="s">
        <v>355</v>
      </c>
      <c r="G54" s="40" t="s">
        <v>356</v>
      </c>
    </row>
    <row r="55" spans="1:7" ht="29" x14ac:dyDescent="0.35">
      <c r="A55" s="3" t="s">
        <v>357</v>
      </c>
      <c r="B55" s="3" t="s">
        <v>358</v>
      </c>
      <c r="C55" s="11">
        <v>1</v>
      </c>
      <c r="D55" s="11">
        <v>4</v>
      </c>
      <c r="E55" s="11">
        <v>16</v>
      </c>
      <c r="F55" s="3" t="s">
        <v>355</v>
      </c>
      <c r="G55" s="40" t="s">
        <v>356</v>
      </c>
    </row>
    <row r="56" spans="1:7" ht="29" x14ac:dyDescent="0.35">
      <c r="A56" s="3" t="s">
        <v>359</v>
      </c>
      <c r="B56" s="3" t="s">
        <v>360</v>
      </c>
      <c r="C56" s="11">
        <v>3</v>
      </c>
      <c r="D56" s="11">
        <v>10</v>
      </c>
      <c r="E56" s="11">
        <v>32</v>
      </c>
      <c r="F56" s="3" t="s">
        <v>355</v>
      </c>
      <c r="G56" s="40" t="s">
        <v>356</v>
      </c>
    </row>
    <row r="57" spans="1:7" x14ac:dyDescent="0.35">
      <c r="A57" s="3" t="s">
        <v>361</v>
      </c>
      <c r="B57" s="3" t="s">
        <v>362</v>
      </c>
      <c r="C57" s="11">
        <v>2</v>
      </c>
      <c r="D57" s="11">
        <v>4</v>
      </c>
      <c r="E57" s="11">
        <v>6</v>
      </c>
      <c r="F57" s="3" t="s">
        <v>224</v>
      </c>
      <c r="G57" s="40" t="s">
        <v>300</v>
      </c>
    </row>
    <row r="58" spans="1:7" ht="29" x14ac:dyDescent="0.35">
      <c r="A58" s="3" t="s">
        <v>363</v>
      </c>
      <c r="B58" s="3" t="s">
        <v>364</v>
      </c>
      <c r="C58" s="11">
        <v>1</v>
      </c>
      <c r="D58" s="11">
        <v>2</v>
      </c>
      <c r="E58" s="11">
        <v>4</v>
      </c>
      <c r="F58" s="3" t="s">
        <v>224</v>
      </c>
      <c r="G58" s="40" t="s">
        <v>300</v>
      </c>
    </row>
    <row r="59" spans="1:7" x14ac:dyDescent="0.35">
      <c r="A59" s="3" t="s">
        <v>365</v>
      </c>
      <c r="B59" s="3" t="s">
        <v>366</v>
      </c>
      <c r="C59" s="11">
        <v>20</v>
      </c>
      <c r="D59" s="11">
        <v>60</v>
      </c>
      <c r="E59" s="11">
        <v>150</v>
      </c>
      <c r="F59" s="3" t="s">
        <v>367</v>
      </c>
      <c r="G59" s="40" t="s">
        <v>300</v>
      </c>
    </row>
    <row r="60" spans="1:7" ht="29" x14ac:dyDescent="0.35">
      <c r="A60" s="3" t="s">
        <v>368</v>
      </c>
      <c r="B60" s="3" t="s">
        <v>369</v>
      </c>
      <c r="C60" s="11">
        <v>36</v>
      </c>
      <c r="D60" s="11">
        <v>108</v>
      </c>
      <c r="E60" s="11">
        <v>225</v>
      </c>
      <c r="F60" s="3" t="s">
        <v>370</v>
      </c>
      <c r="G60" s="40" t="s">
        <v>356</v>
      </c>
    </row>
    <row r="61" spans="1:7" ht="29" x14ac:dyDescent="0.35">
      <c r="A61" s="3" t="s">
        <v>371</v>
      </c>
      <c r="B61" s="3" t="s">
        <v>372</v>
      </c>
      <c r="C61" s="11">
        <v>18</v>
      </c>
      <c r="D61" s="11">
        <v>48</v>
      </c>
      <c r="E61" s="11">
        <v>150</v>
      </c>
      <c r="F61" s="3" t="s">
        <v>373</v>
      </c>
      <c r="G61" s="40" t="s">
        <v>356</v>
      </c>
    </row>
    <row r="62" spans="1:7" x14ac:dyDescent="0.35">
      <c r="A62" s="3" t="s">
        <v>374</v>
      </c>
      <c r="B62" s="3" t="s">
        <v>375</v>
      </c>
      <c r="C62" s="11">
        <v>1</v>
      </c>
      <c r="D62" s="11">
        <v>1</v>
      </c>
      <c r="E62" s="11">
        <v>2</v>
      </c>
      <c r="F62" s="3" t="s">
        <v>376</v>
      </c>
      <c r="G62" s="40" t="s">
        <v>300</v>
      </c>
    </row>
    <row r="63" spans="1:7" x14ac:dyDescent="0.35">
      <c r="A63" s="3" t="s">
        <v>377</v>
      </c>
      <c r="B63" s="3" t="s">
        <v>225</v>
      </c>
      <c r="C63" s="11">
        <v>1</v>
      </c>
      <c r="D63" s="11">
        <v>2</v>
      </c>
      <c r="E63" s="11">
        <v>4</v>
      </c>
      <c r="F63" s="3" t="s">
        <v>378</v>
      </c>
      <c r="G63" s="40" t="s">
        <v>300</v>
      </c>
    </row>
    <row r="64" spans="1:7" ht="29" x14ac:dyDescent="0.35">
      <c r="A64" s="3" t="s">
        <v>379</v>
      </c>
      <c r="B64" s="3" t="s">
        <v>380</v>
      </c>
      <c r="C64" s="10">
        <v>0.05</v>
      </c>
      <c r="D64" s="10">
        <v>7.4999999999999997E-2</v>
      </c>
      <c r="E64" s="10">
        <v>0.15</v>
      </c>
      <c r="F64" s="3" t="s">
        <v>227</v>
      </c>
      <c r="G64" s="40" t="s">
        <v>300</v>
      </c>
    </row>
    <row r="65" spans="1:11" ht="29" x14ac:dyDescent="0.35">
      <c r="A65" s="40" t="s">
        <v>381</v>
      </c>
      <c r="B65" s="40" t="s">
        <v>215</v>
      </c>
      <c r="C65" s="11">
        <v>3</v>
      </c>
      <c r="D65" s="11">
        <v>3</v>
      </c>
      <c r="E65" s="11">
        <v>5</v>
      </c>
      <c r="F65" s="40" t="s">
        <v>216</v>
      </c>
      <c r="G65" s="40" t="s">
        <v>382</v>
      </c>
    </row>
    <row r="66" spans="1:11" ht="29" x14ac:dyDescent="0.35">
      <c r="A66" s="40" t="s">
        <v>383</v>
      </c>
      <c r="B66" s="40" t="s">
        <v>217</v>
      </c>
      <c r="C66" s="11">
        <v>3</v>
      </c>
      <c r="D66" s="11">
        <v>5</v>
      </c>
      <c r="E66" s="11">
        <v>8</v>
      </c>
      <c r="F66" s="40" t="s">
        <v>216</v>
      </c>
      <c r="G66" s="40" t="s">
        <v>382</v>
      </c>
    </row>
    <row r="67" spans="1:11" ht="29" x14ac:dyDescent="0.35">
      <c r="A67" s="40" t="s">
        <v>384</v>
      </c>
      <c r="B67" s="40" t="s">
        <v>218</v>
      </c>
      <c r="C67" s="11">
        <v>50000</v>
      </c>
      <c r="D67" s="11">
        <v>150000</v>
      </c>
      <c r="E67" s="11">
        <v>250000</v>
      </c>
      <c r="F67" s="40" t="s">
        <v>219</v>
      </c>
      <c r="G67" s="40" t="s">
        <v>385</v>
      </c>
    </row>
    <row r="68" spans="1:11" ht="29" x14ac:dyDescent="0.35">
      <c r="A68" s="40" t="s">
        <v>386</v>
      </c>
      <c r="B68" s="40" t="s">
        <v>220</v>
      </c>
      <c r="C68" s="11">
        <v>500</v>
      </c>
      <c r="D68" s="11">
        <v>750</v>
      </c>
      <c r="E68" s="11">
        <v>1000</v>
      </c>
      <c r="F68" s="40" t="s">
        <v>221</v>
      </c>
      <c r="G68" s="40" t="s">
        <v>387</v>
      </c>
    </row>
    <row r="69" spans="1:11" ht="43.5" x14ac:dyDescent="0.35">
      <c r="A69" s="40" t="s">
        <v>388</v>
      </c>
      <c r="B69" s="40" t="s">
        <v>226</v>
      </c>
      <c r="C69" s="10">
        <v>0.5</v>
      </c>
      <c r="D69" s="10">
        <v>0.75</v>
      </c>
      <c r="E69" s="10">
        <v>0.9</v>
      </c>
      <c r="F69" s="40" t="s">
        <v>227</v>
      </c>
      <c r="G69" s="40" t="s">
        <v>389</v>
      </c>
    </row>
    <row r="71" spans="1:11" x14ac:dyDescent="0.35">
      <c r="A71" s="56" t="s">
        <v>390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</row>
    <row r="72" spans="1:11" x14ac:dyDescent="0.35">
      <c r="A72" s="9" t="s">
        <v>391</v>
      </c>
      <c r="B72" s="9" t="s">
        <v>46</v>
      </c>
      <c r="C72" s="9" t="s">
        <v>392</v>
      </c>
      <c r="D72" s="9" t="s">
        <v>393</v>
      </c>
      <c r="E72" s="9" t="s">
        <v>394</v>
      </c>
      <c r="F72" s="9" t="s">
        <v>395</v>
      </c>
      <c r="G72" s="9" t="s">
        <v>396</v>
      </c>
      <c r="H72" s="9" t="s">
        <v>397</v>
      </c>
      <c r="I72" s="9" t="s">
        <v>398</v>
      </c>
      <c r="J72" s="9" t="s">
        <v>399</v>
      </c>
      <c r="K72" s="9" t="s">
        <v>400</v>
      </c>
    </row>
    <row r="73" spans="1:11" ht="43.5" x14ac:dyDescent="0.35">
      <c r="A73" s="3" t="s">
        <v>401</v>
      </c>
      <c r="B73" s="3" t="s">
        <v>47</v>
      </c>
      <c r="C73" s="3" t="s">
        <v>402</v>
      </c>
      <c r="D73" s="3" t="s">
        <v>403</v>
      </c>
      <c r="E73" s="57">
        <v>97.4</v>
      </c>
      <c r="F73" s="10">
        <v>0.3</v>
      </c>
      <c r="G73" s="10">
        <v>0.18</v>
      </c>
      <c r="H73" s="10">
        <v>0</v>
      </c>
      <c r="I73" s="57">
        <v>150</v>
      </c>
      <c r="J73" s="3">
        <v>2026</v>
      </c>
      <c r="K73" s="3" t="s">
        <v>34</v>
      </c>
    </row>
    <row r="74" spans="1:11" ht="43.5" x14ac:dyDescent="0.35">
      <c r="A74" s="3" t="s">
        <v>404</v>
      </c>
      <c r="B74" s="3" t="s">
        <v>47</v>
      </c>
      <c r="C74" s="3" t="s">
        <v>405</v>
      </c>
      <c r="D74" s="3" t="s">
        <v>403</v>
      </c>
      <c r="E74" s="57">
        <v>77.92</v>
      </c>
      <c r="F74" s="10">
        <v>0.3</v>
      </c>
      <c r="G74" s="10">
        <v>0.18</v>
      </c>
      <c r="H74" s="10">
        <v>0</v>
      </c>
      <c r="I74" s="57">
        <v>120</v>
      </c>
      <c r="J74" s="3">
        <v>2026</v>
      </c>
      <c r="K74" s="3" t="s">
        <v>34</v>
      </c>
    </row>
    <row r="75" spans="1:11" ht="43.5" x14ac:dyDescent="0.35">
      <c r="A75" s="3" t="s">
        <v>406</v>
      </c>
      <c r="B75" s="3" t="s">
        <v>47</v>
      </c>
      <c r="C75" s="3" t="s">
        <v>407</v>
      </c>
      <c r="D75" s="3" t="s">
        <v>403</v>
      </c>
      <c r="E75" s="57">
        <v>81.17</v>
      </c>
      <c r="F75" s="10">
        <v>0.3</v>
      </c>
      <c r="G75" s="10">
        <v>0.18</v>
      </c>
      <c r="H75" s="10">
        <v>0</v>
      </c>
      <c r="I75" s="57">
        <v>125</v>
      </c>
      <c r="J75" s="3">
        <v>2026</v>
      </c>
      <c r="K75" s="3" t="s">
        <v>34</v>
      </c>
    </row>
    <row r="76" spans="1:11" ht="43.5" x14ac:dyDescent="0.35">
      <c r="A76" s="3" t="s">
        <v>408</v>
      </c>
      <c r="B76" s="3" t="s">
        <v>47</v>
      </c>
      <c r="C76" s="3" t="s">
        <v>409</v>
      </c>
      <c r="D76" s="3" t="s">
        <v>403</v>
      </c>
      <c r="E76" s="57">
        <v>87.66</v>
      </c>
      <c r="F76" s="10">
        <v>0.3</v>
      </c>
      <c r="G76" s="10">
        <v>0.18</v>
      </c>
      <c r="H76" s="10">
        <v>0</v>
      </c>
      <c r="I76" s="57">
        <v>135</v>
      </c>
      <c r="J76" s="3">
        <v>2026</v>
      </c>
      <c r="K76" s="3" t="s">
        <v>34</v>
      </c>
    </row>
    <row r="77" spans="1:11" ht="43.5" x14ac:dyDescent="0.35">
      <c r="A77" s="3" t="s">
        <v>410</v>
      </c>
      <c r="B77" s="3" t="s">
        <v>47</v>
      </c>
      <c r="C77" s="3" t="s">
        <v>411</v>
      </c>
      <c r="D77" s="3" t="s">
        <v>403</v>
      </c>
      <c r="E77" s="57">
        <v>61.69</v>
      </c>
      <c r="F77" s="10">
        <v>0.3</v>
      </c>
      <c r="G77" s="10">
        <v>0.18</v>
      </c>
      <c r="H77" s="10">
        <v>0</v>
      </c>
      <c r="I77" s="57">
        <v>95</v>
      </c>
      <c r="J77" s="3">
        <v>2026</v>
      </c>
      <c r="K77" s="3" t="s">
        <v>34</v>
      </c>
    </row>
    <row r="78" spans="1:11" ht="43.5" x14ac:dyDescent="0.35">
      <c r="A78" s="3" t="s">
        <v>412</v>
      </c>
      <c r="B78" s="3" t="s">
        <v>47</v>
      </c>
      <c r="C78" s="3" t="s">
        <v>413</v>
      </c>
      <c r="D78" s="3" t="s">
        <v>403</v>
      </c>
      <c r="E78" s="57">
        <v>116.88</v>
      </c>
      <c r="F78" s="10">
        <v>0.3</v>
      </c>
      <c r="G78" s="10">
        <v>0.18</v>
      </c>
      <c r="H78" s="10">
        <v>0</v>
      </c>
      <c r="I78" s="57">
        <v>180</v>
      </c>
      <c r="J78" s="3">
        <v>2026</v>
      </c>
      <c r="K78" s="3" t="s">
        <v>34</v>
      </c>
    </row>
    <row r="79" spans="1:11" ht="43.5" x14ac:dyDescent="0.35">
      <c r="A79" s="3" t="s">
        <v>414</v>
      </c>
      <c r="B79" s="3" t="s">
        <v>47</v>
      </c>
      <c r="C79" s="3" t="s">
        <v>67</v>
      </c>
      <c r="D79" s="3" t="s">
        <v>403</v>
      </c>
      <c r="E79" s="57">
        <v>55.19</v>
      </c>
      <c r="F79" s="10">
        <v>0.3</v>
      </c>
      <c r="G79" s="10">
        <v>0.18</v>
      </c>
      <c r="H79" s="10">
        <v>0</v>
      </c>
      <c r="I79" s="57">
        <v>85</v>
      </c>
      <c r="J79" s="3">
        <v>2026</v>
      </c>
      <c r="K79" s="3" t="s">
        <v>34</v>
      </c>
    </row>
    <row r="80" spans="1:11" ht="43.5" x14ac:dyDescent="0.35">
      <c r="A80" s="3" t="s">
        <v>415</v>
      </c>
      <c r="B80" s="3" t="s">
        <v>48</v>
      </c>
      <c r="C80" s="3" t="s">
        <v>402</v>
      </c>
      <c r="D80" s="3" t="s">
        <v>403</v>
      </c>
      <c r="E80" s="57">
        <v>113.64</v>
      </c>
      <c r="F80" s="10">
        <v>0.3</v>
      </c>
      <c r="G80" s="10">
        <v>0.18</v>
      </c>
      <c r="H80" s="10">
        <v>0.04</v>
      </c>
      <c r="I80" s="57">
        <v>175</v>
      </c>
      <c r="J80" s="3">
        <v>2026</v>
      </c>
      <c r="K80" s="3" t="s">
        <v>34</v>
      </c>
    </row>
    <row r="81" spans="1:11" ht="43.5" x14ac:dyDescent="0.35">
      <c r="A81" s="3" t="s">
        <v>416</v>
      </c>
      <c r="B81" s="3" t="s">
        <v>48</v>
      </c>
      <c r="C81" s="3" t="s">
        <v>405</v>
      </c>
      <c r="D81" s="3" t="s">
        <v>403</v>
      </c>
      <c r="E81" s="57">
        <v>94.16</v>
      </c>
      <c r="F81" s="10">
        <v>0.3</v>
      </c>
      <c r="G81" s="10">
        <v>0.18</v>
      </c>
      <c r="H81" s="10">
        <v>0.04</v>
      </c>
      <c r="I81" s="57">
        <v>145</v>
      </c>
      <c r="J81" s="3">
        <v>2026</v>
      </c>
      <c r="K81" s="3" t="s">
        <v>34</v>
      </c>
    </row>
    <row r="82" spans="1:11" ht="43.5" x14ac:dyDescent="0.35">
      <c r="A82" s="3" t="s">
        <v>417</v>
      </c>
      <c r="B82" s="3" t="s">
        <v>48</v>
      </c>
      <c r="C82" s="3" t="s">
        <v>407</v>
      </c>
      <c r="D82" s="3" t="s">
        <v>403</v>
      </c>
      <c r="E82" s="57">
        <v>103.9</v>
      </c>
      <c r="F82" s="10">
        <v>0.3</v>
      </c>
      <c r="G82" s="10">
        <v>0.18</v>
      </c>
      <c r="H82" s="10">
        <v>0.04</v>
      </c>
      <c r="I82" s="57">
        <v>160</v>
      </c>
      <c r="J82" s="3">
        <v>2026</v>
      </c>
      <c r="K82" s="3" t="s">
        <v>34</v>
      </c>
    </row>
    <row r="83" spans="1:11" ht="43.5" x14ac:dyDescent="0.35">
      <c r="A83" s="3" t="s">
        <v>418</v>
      </c>
      <c r="B83" s="3" t="s">
        <v>48</v>
      </c>
      <c r="C83" s="3" t="s">
        <v>409</v>
      </c>
      <c r="D83" s="3" t="s">
        <v>403</v>
      </c>
      <c r="E83" s="57">
        <v>107.14</v>
      </c>
      <c r="F83" s="10">
        <v>0.3</v>
      </c>
      <c r="G83" s="10">
        <v>0.18</v>
      </c>
      <c r="H83" s="10">
        <v>0.04</v>
      </c>
      <c r="I83" s="57">
        <v>165</v>
      </c>
      <c r="J83" s="3">
        <v>2026</v>
      </c>
      <c r="K83" s="3" t="s">
        <v>34</v>
      </c>
    </row>
    <row r="84" spans="1:11" ht="43.5" x14ac:dyDescent="0.35">
      <c r="A84" s="3" t="s">
        <v>419</v>
      </c>
      <c r="B84" s="3" t="s">
        <v>48</v>
      </c>
      <c r="C84" s="3" t="s">
        <v>411</v>
      </c>
      <c r="D84" s="3" t="s">
        <v>403</v>
      </c>
      <c r="E84" s="57">
        <v>77.92</v>
      </c>
      <c r="F84" s="10">
        <v>0.3</v>
      </c>
      <c r="G84" s="10">
        <v>0.18</v>
      </c>
      <c r="H84" s="10">
        <v>0.04</v>
      </c>
      <c r="I84" s="57">
        <v>120</v>
      </c>
      <c r="J84" s="3">
        <v>2026</v>
      </c>
      <c r="K84" s="3" t="s">
        <v>34</v>
      </c>
    </row>
    <row r="85" spans="1:11" ht="43.5" x14ac:dyDescent="0.35">
      <c r="A85" s="3" t="s">
        <v>420</v>
      </c>
      <c r="B85" s="3" t="s">
        <v>48</v>
      </c>
      <c r="C85" s="3" t="s">
        <v>413</v>
      </c>
      <c r="D85" s="3" t="s">
        <v>403</v>
      </c>
      <c r="E85" s="57">
        <v>136.36000000000001</v>
      </c>
      <c r="F85" s="10">
        <v>0.3</v>
      </c>
      <c r="G85" s="10">
        <v>0.18</v>
      </c>
      <c r="H85" s="10">
        <v>0.04</v>
      </c>
      <c r="I85" s="57">
        <v>210</v>
      </c>
      <c r="J85" s="3">
        <v>2026</v>
      </c>
      <c r="K85" s="3" t="s">
        <v>34</v>
      </c>
    </row>
    <row r="86" spans="1:11" ht="43.5" x14ac:dyDescent="0.35">
      <c r="A86" s="3" t="s">
        <v>421</v>
      </c>
      <c r="B86" s="3" t="s">
        <v>48</v>
      </c>
      <c r="C86" s="3" t="s">
        <v>67</v>
      </c>
      <c r="D86" s="3" t="s">
        <v>403</v>
      </c>
      <c r="E86" s="57">
        <v>68.180000000000007</v>
      </c>
      <c r="F86" s="10">
        <v>0.3</v>
      </c>
      <c r="G86" s="10">
        <v>0.18</v>
      </c>
      <c r="H86" s="10">
        <v>0.04</v>
      </c>
      <c r="I86" s="57">
        <v>105</v>
      </c>
      <c r="J86" s="3">
        <v>2026</v>
      </c>
      <c r="K86" s="3" t="s">
        <v>34</v>
      </c>
    </row>
    <row r="87" spans="1:11" ht="43.5" x14ac:dyDescent="0.35">
      <c r="A87" s="3" t="s">
        <v>422</v>
      </c>
      <c r="B87" s="3" t="s">
        <v>49</v>
      </c>
      <c r="C87" s="3" t="s">
        <v>402</v>
      </c>
      <c r="D87" s="3" t="s">
        <v>403</v>
      </c>
      <c r="E87" s="57">
        <v>100.65</v>
      </c>
      <c r="F87" s="10">
        <v>0.3</v>
      </c>
      <c r="G87" s="10">
        <v>0.18</v>
      </c>
      <c r="H87" s="10">
        <v>0.04</v>
      </c>
      <c r="I87" s="57">
        <v>155</v>
      </c>
      <c r="J87" s="3">
        <v>2026</v>
      </c>
      <c r="K87" s="3" t="s">
        <v>34</v>
      </c>
    </row>
    <row r="88" spans="1:11" ht="43.5" x14ac:dyDescent="0.35">
      <c r="A88" s="3" t="s">
        <v>423</v>
      </c>
      <c r="B88" s="3" t="s">
        <v>49</v>
      </c>
      <c r="C88" s="3" t="s">
        <v>405</v>
      </c>
      <c r="D88" s="3" t="s">
        <v>403</v>
      </c>
      <c r="E88" s="57">
        <v>81.17</v>
      </c>
      <c r="F88" s="10">
        <v>0.3</v>
      </c>
      <c r="G88" s="10">
        <v>0.18</v>
      </c>
      <c r="H88" s="10">
        <v>0.04</v>
      </c>
      <c r="I88" s="57">
        <v>125</v>
      </c>
      <c r="J88" s="3">
        <v>2026</v>
      </c>
      <c r="K88" s="3" t="s">
        <v>34</v>
      </c>
    </row>
    <row r="89" spans="1:11" ht="43.5" x14ac:dyDescent="0.35">
      <c r="A89" s="3" t="s">
        <v>424</v>
      </c>
      <c r="B89" s="3" t="s">
        <v>49</v>
      </c>
      <c r="C89" s="3" t="s">
        <v>407</v>
      </c>
      <c r="D89" s="3" t="s">
        <v>403</v>
      </c>
      <c r="E89" s="57">
        <v>87.66</v>
      </c>
      <c r="F89" s="10">
        <v>0.3</v>
      </c>
      <c r="G89" s="10">
        <v>0.18</v>
      </c>
      <c r="H89" s="10">
        <v>0.04</v>
      </c>
      <c r="I89" s="57">
        <v>135</v>
      </c>
      <c r="J89" s="3">
        <v>2026</v>
      </c>
      <c r="K89" s="3" t="s">
        <v>34</v>
      </c>
    </row>
    <row r="90" spans="1:11" ht="43.5" x14ac:dyDescent="0.35">
      <c r="A90" s="3" t="s">
        <v>425</v>
      </c>
      <c r="B90" s="3" t="s">
        <v>49</v>
      </c>
      <c r="C90" s="3" t="s">
        <v>409</v>
      </c>
      <c r="D90" s="3" t="s">
        <v>403</v>
      </c>
      <c r="E90" s="57">
        <v>94.16</v>
      </c>
      <c r="F90" s="10">
        <v>0.3</v>
      </c>
      <c r="G90" s="10">
        <v>0.18</v>
      </c>
      <c r="H90" s="10">
        <v>0.04</v>
      </c>
      <c r="I90" s="57">
        <v>145</v>
      </c>
      <c r="J90" s="3">
        <v>2026</v>
      </c>
      <c r="K90" s="3" t="s">
        <v>34</v>
      </c>
    </row>
    <row r="91" spans="1:11" ht="43.5" x14ac:dyDescent="0.35">
      <c r="A91" s="3" t="s">
        <v>426</v>
      </c>
      <c r="B91" s="3" t="s">
        <v>49</v>
      </c>
      <c r="C91" s="3" t="s">
        <v>411</v>
      </c>
      <c r="D91" s="3" t="s">
        <v>403</v>
      </c>
      <c r="E91" s="57">
        <v>68.180000000000007</v>
      </c>
      <c r="F91" s="10">
        <v>0.3</v>
      </c>
      <c r="G91" s="10">
        <v>0.18</v>
      </c>
      <c r="H91" s="10">
        <v>0.04</v>
      </c>
      <c r="I91" s="57">
        <v>105</v>
      </c>
      <c r="J91" s="3">
        <v>2026</v>
      </c>
      <c r="K91" s="3" t="s">
        <v>34</v>
      </c>
    </row>
    <row r="92" spans="1:11" ht="43.5" x14ac:dyDescent="0.35">
      <c r="A92" s="3" t="s">
        <v>427</v>
      </c>
      <c r="B92" s="3" t="s">
        <v>49</v>
      </c>
      <c r="C92" s="3" t="s">
        <v>413</v>
      </c>
      <c r="D92" s="3" t="s">
        <v>403</v>
      </c>
      <c r="E92" s="57">
        <v>123.38</v>
      </c>
      <c r="F92" s="10">
        <v>0.3</v>
      </c>
      <c r="G92" s="10">
        <v>0.18</v>
      </c>
      <c r="H92" s="10">
        <v>0.04</v>
      </c>
      <c r="I92" s="57">
        <v>190</v>
      </c>
      <c r="J92" s="3">
        <v>2026</v>
      </c>
      <c r="K92" s="3" t="s">
        <v>34</v>
      </c>
    </row>
    <row r="93" spans="1:11" ht="43.5" x14ac:dyDescent="0.35">
      <c r="A93" s="3" t="s">
        <v>428</v>
      </c>
      <c r="B93" s="3" t="s">
        <v>49</v>
      </c>
      <c r="C93" s="3" t="s">
        <v>67</v>
      </c>
      <c r="D93" s="3" t="s">
        <v>403</v>
      </c>
      <c r="E93" s="57">
        <v>58.44</v>
      </c>
      <c r="F93" s="10">
        <v>0.3</v>
      </c>
      <c r="G93" s="10">
        <v>0.18</v>
      </c>
      <c r="H93" s="10">
        <v>0.04</v>
      </c>
      <c r="I93" s="57">
        <v>90</v>
      </c>
      <c r="J93" s="3">
        <v>2026</v>
      </c>
      <c r="K93" s="3" t="s">
        <v>34</v>
      </c>
    </row>
    <row r="94" spans="1:11" ht="43.5" x14ac:dyDescent="0.35">
      <c r="A94" s="3" t="s">
        <v>429</v>
      </c>
      <c r="B94" s="3" t="s">
        <v>50</v>
      </c>
      <c r="C94" s="3" t="s">
        <v>402</v>
      </c>
      <c r="D94" s="3" t="s">
        <v>403</v>
      </c>
      <c r="E94" s="57">
        <v>94.16</v>
      </c>
      <c r="F94" s="10">
        <v>0.3</v>
      </c>
      <c r="G94" s="10">
        <v>0.18</v>
      </c>
      <c r="H94" s="10">
        <v>0</v>
      </c>
      <c r="I94" s="57">
        <v>145</v>
      </c>
      <c r="J94" s="3">
        <v>2026</v>
      </c>
      <c r="K94" s="3" t="s">
        <v>34</v>
      </c>
    </row>
    <row r="95" spans="1:11" ht="43.5" x14ac:dyDescent="0.35">
      <c r="A95" s="3" t="s">
        <v>430</v>
      </c>
      <c r="B95" s="3" t="s">
        <v>50</v>
      </c>
      <c r="C95" s="3" t="s">
        <v>405</v>
      </c>
      <c r="D95" s="3" t="s">
        <v>403</v>
      </c>
      <c r="E95" s="57">
        <v>74.680000000000007</v>
      </c>
      <c r="F95" s="10">
        <v>0.3</v>
      </c>
      <c r="G95" s="10">
        <v>0.18</v>
      </c>
      <c r="H95" s="10">
        <v>0</v>
      </c>
      <c r="I95" s="57">
        <v>115</v>
      </c>
      <c r="J95" s="3">
        <v>2026</v>
      </c>
      <c r="K95" s="3" t="s">
        <v>34</v>
      </c>
    </row>
    <row r="96" spans="1:11" ht="43.5" x14ac:dyDescent="0.35">
      <c r="A96" s="3" t="s">
        <v>431</v>
      </c>
      <c r="B96" s="3" t="s">
        <v>50</v>
      </c>
      <c r="C96" s="3" t="s">
        <v>407</v>
      </c>
      <c r="D96" s="3" t="s">
        <v>403</v>
      </c>
      <c r="E96" s="57">
        <v>81.17</v>
      </c>
      <c r="F96" s="10">
        <v>0.3</v>
      </c>
      <c r="G96" s="10">
        <v>0.18</v>
      </c>
      <c r="H96" s="10">
        <v>0</v>
      </c>
      <c r="I96" s="57">
        <v>125</v>
      </c>
      <c r="J96" s="3">
        <v>2026</v>
      </c>
      <c r="K96" s="3" t="s">
        <v>34</v>
      </c>
    </row>
    <row r="97" spans="1:11" ht="43.5" x14ac:dyDescent="0.35">
      <c r="A97" s="3" t="s">
        <v>432</v>
      </c>
      <c r="B97" s="3" t="s">
        <v>50</v>
      </c>
      <c r="C97" s="3" t="s">
        <v>409</v>
      </c>
      <c r="D97" s="3" t="s">
        <v>403</v>
      </c>
      <c r="E97" s="57">
        <v>84.42</v>
      </c>
      <c r="F97" s="10">
        <v>0.3</v>
      </c>
      <c r="G97" s="10">
        <v>0.18</v>
      </c>
      <c r="H97" s="10">
        <v>0</v>
      </c>
      <c r="I97" s="57">
        <v>130</v>
      </c>
      <c r="J97" s="3">
        <v>2026</v>
      </c>
      <c r="K97" s="3" t="s">
        <v>34</v>
      </c>
    </row>
    <row r="98" spans="1:11" ht="43.5" x14ac:dyDescent="0.35">
      <c r="A98" s="3" t="s">
        <v>433</v>
      </c>
      <c r="B98" s="3" t="s">
        <v>50</v>
      </c>
      <c r="C98" s="3" t="s">
        <v>411</v>
      </c>
      <c r="D98" s="3" t="s">
        <v>403</v>
      </c>
      <c r="E98" s="57">
        <v>61.69</v>
      </c>
      <c r="F98" s="10">
        <v>0.3</v>
      </c>
      <c r="G98" s="10">
        <v>0.18</v>
      </c>
      <c r="H98" s="10">
        <v>0</v>
      </c>
      <c r="I98" s="57">
        <v>95</v>
      </c>
      <c r="J98" s="3">
        <v>2026</v>
      </c>
      <c r="K98" s="3" t="s">
        <v>34</v>
      </c>
    </row>
    <row r="99" spans="1:11" ht="43.5" x14ac:dyDescent="0.35">
      <c r="A99" s="3" t="s">
        <v>434</v>
      </c>
      <c r="B99" s="3" t="s">
        <v>50</v>
      </c>
      <c r="C99" s="3" t="s">
        <v>413</v>
      </c>
      <c r="D99" s="3" t="s">
        <v>403</v>
      </c>
      <c r="E99" s="57">
        <v>116.88</v>
      </c>
      <c r="F99" s="10">
        <v>0.3</v>
      </c>
      <c r="G99" s="10">
        <v>0.18</v>
      </c>
      <c r="H99" s="10">
        <v>0</v>
      </c>
      <c r="I99" s="57">
        <v>180</v>
      </c>
      <c r="J99" s="3">
        <v>2026</v>
      </c>
      <c r="K99" s="3" t="s">
        <v>34</v>
      </c>
    </row>
    <row r="100" spans="1:11" ht="43.5" x14ac:dyDescent="0.35">
      <c r="A100" s="3" t="s">
        <v>435</v>
      </c>
      <c r="B100" s="3" t="s">
        <v>50</v>
      </c>
      <c r="C100" s="3" t="s">
        <v>67</v>
      </c>
      <c r="D100" s="3" t="s">
        <v>403</v>
      </c>
      <c r="E100" s="57">
        <v>55.19</v>
      </c>
      <c r="F100" s="10">
        <v>0.3</v>
      </c>
      <c r="G100" s="10">
        <v>0.18</v>
      </c>
      <c r="H100" s="10">
        <v>0</v>
      </c>
      <c r="I100" s="57">
        <v>85</v>
      </c>
      <c r="J100" s="3">
        <v>2026</v>
      </c>
      <c r="K100" s="3" t="s">
        <v>34</v>
      </c>
    </row>
    <row r="103" spans="1:11" x14ac:dyDescent="0.35">
      <c r="A103" s="9" t="s">
        <v>46</v>
      </c>
      <c r="B103" s="9" t="s">
        <v>436</v>
      </c>
      <c r="C103" s="9" t="s">
        <v>437</v>
      </c>
      <c r="D103" s="9" t="s">
        <v>400</v>
      </c>
      <c r="E103" s="9" t="s">
        <v>167</v>
      </c>
    </row>
    <row r="104" spans="1:11" ht="29" x14ac:dyDescent="0.35">
      <c r="A104" s="3" t="s">
        <v>47</v>
      </c>
      <c r="B104" s="10">
        <v>0.25</v>
      </c>
      <c r="C104" s="3" t="s">
        <v>438</v>
      </c>
      <c r="D104" s="3" t="s">
        <v>34</v>
      </c>
      <c r="E104" s="3" t="s">
        <v>439</v>
      </c>
    </row>
    <row r="105" spans="1:11" ht="29" x14ac:dyDescent="0.35">
      <c r="A105" s="3" t="s">
        <v>48</v>
      </c>
      <c r="B105" s="10">
        <v>0.35</v>
      </c>
      <c r="C105" s="3" t="s">
        <v>438</v>
      </c>
      <c r="D105" s="3" t="s">
        <v>34</v>
      </c>
      <c r="E105" s="3" t="s">
        <v>439</v>
      </c>
    </row>
    <row r="106" spans="1:11" ht="29" x14ac:dyDescent="0.35">
      <c r="A106" s="3" t="s">
        <v>49</v>
      </c>
      <c r="B106" s="10">
        <v>0.3</v>
      </c>
      <c r="C106" s="3" t="s">
        <v>438</v>
      </c>
      <c r="D106" s="3" t="s">
        <v>34</v>
      </c>
      <c r="E106" s="3" t="s">
        <v>439</v>
      </c>
    </row>
    <row r="107" spans="1:11" ht="29" x14ac:dyDescent="0.35">
      <c r="A107" s="3" t="s">
        <v>50</v>
      </c>
      <c r="B107" s="10">
        <v>0.25</v>
      </c>
      <c r="C107" s="3" t="s">
        <v>438</v>
      </c>
      <c r="D107" s="3" t="s">
        <v>34</v>
      </c>
      <c r="E107" s="3" t="s">
        <v>439</v>
      </c>
    </row>
  </sheetData>
  <mergeCells count="1">
    <mergeCell ref="A28:G28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77"/>
  <sheetViews>
    <sheetView workbookViewId="0">
      <selection activeCell="A5" sqref="A5"/>
    </sheetView>
  </sheetViews>
  <sheetFormatPr defaultRowHeight="14.5" x14ac:dyDescent="0.35"/>
  <cols>
    <col min="1" max="1" width="15" customWidth="1"/>
    <col min="2" max="2" width="13" customWidth="1"/>
    <col min="3" max="3" width="28" customWidth="1"/>
    <col min="4" max="4" width="29" customWidth="1"/>
    <col min="5" max="5" width="30" customWidth="1"/>
    <col min="6" max="6" width="36" customWidth="1"/>
    <col min="7" max="7" width="52" customWidth="1"/>
    <col min="8" max="8" width="40" customWidth="1"/>
    <col min="9" max="9" width="22" customWidth="1"/>
    <col min="10" max="10" width="25" customWidth="1"/>
    <col min="11" max="11" width="34" customWidth="1"/>
    <col min="12" max="12" width="24" customWidth="1"/>
    <col min="13" max="13" width="16" customWidth="1"/>
    <col min="14" max="14" width="24" customWidth="1"/>
    <col min="15" max="15" width="22" customWidth="1"/>
    <col min="16" max="16" width="21" customWidth="1"/>
    <col min="17" max="17" width="22" customWidth="1"/>
    <col min="18" max="18" width="24" customWidth="1"/>
    <col min="19" max="19" width="36" customWidth="1"/>
    <col min="20" max="20" width="25" customWidth="1"/>
    <col min="21" max="21" width="38" customWidth="1"/>
    <col min="22" max="22" width="22" customWidth="1"/>
    <col min="23" max="23" width="24" customWidth="1"/>
    <col min="24" max="24" width="23" customWidth="1"/>
    <col min="25" max="25" width="34" customWidth="1"/>
    <col min="26" max="26" width="30" customWidth="1"/>
    <col min="27" max="27" width="16" customWidth="1"/>
    <col min="28" max="28" width="15" customWidth="1"/>
    <col min="29" max="29" width="22" customWidth="1"/>
    <col min="30" max="30" width="18" customWidth="1"/>
    <col min="31" max="34" width="13" customWidth="1"/>
    <col min="35" max="40" width="14" customWidth="1"/>
    <col min="41" max="43" width="15" customWidth="1"/>
    <col min="44" max="44" width="18" customWidth="1"/>
    <col min="45" max="45" width="15" customWidth="1"/>
    <col min="46" max="48" width="16" customWidth="1"/>
    <col min="49" max="51" width="17" customWidth="1"/>
    <col min="52" max="52" width="14" customWidth="1"/>
    <col min="53" max="55" width="16" customWidth="1"/>
    <col min="56" max="56" width="14" customWidth="1"/>
    <col min="57" max="62" width="16" customWidth="1"/>
    <col min="63" max="63" width="26" customWidth="1"/>
    <col min="64" max="64" width="28" customWidth="1"/>
    <col min="65" max="65" width="16" customWidth="1"/>
    <col min="66" max="66" width="40" customWidth="1"/>
    <col min="67" max="72" width="12" customWidth="1"/>
    <col min="73" max="90" width="15" customWidth="1"/>
  </cols>
  <sheetData>
    <row r="1" spans="1:90" ht="21" x14ac:dyDescent="0.35">
      <c r="A1" s="76" t="s">
        <v>440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</row>
    <row r="2" spans="1:90" x14ac:dyDescent="0.35">
      <c r="A2" s="65" t="s">
        <v>441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90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 spans="1:90" ht="43.5" x14ac:dyDescent="0.35">
      <c r="A4" s="9" t="s">
        <v>166</v>
      </c>
      <c r="B4" s="9" t="s">
        <v>442</v>
      </c>
      <c r="C4" s="9" t="s">
        <v>46</v>
      </c>
      <c r="D4" s="9" t="s">
        <v>51</v>
      </c>
      <c r="E4" s="9" t="s">
        <v>443</v>
      </c>
      <c r="F4" s="9" t="s">
        <v>444</v>
      </c>
      <c r="G4" s="9" t="s">
        <v>153</v>
      </c>
      <c r="H4" s="9" t="s">
        <v>445</v>
      </c>
      <c r="I4" s="9" t="s">
        <v>446</v>
      </c>
      <c r="J4" s="9" t="s">
        <v>447</v>
      </c>
      <c r="K4" s="9" t="s">
        <v>448</v>
      </c>
      <c r="L4" s="9" t="s">
        <v>449</v>
      </c>
      <c r="M4" s="9" t="s">
        <v>450</v>
      </c>
      <c r="N4" s="9" t="s">
        <v>155</v>
      </c>
      <c r="O4" s="9" t="s">
        <v>451</v>
      </c>
      <c r="P4" s="9" t="s">
        <v>452</v>
      </c>
      <c r="Q4" s="9" t="s">
        <v>453</v>
      </c>
      <c r="R4" s="9" t="s">
        <v>454</v>
      </c>
      <c r="S4" s="9" t="s">
        <v>455</v>
      </c>
      <c r="T4" s="9" t="s">
        <v>456</v>
      </c>
      <c r="U4" s="9" t="s">
        <v>457</v>
      </c>
      <c r="V4" s="9" t="s">
        <v>458</v>
      </c>
      <c r="W4" s="9" t="s">
        <v>459</v>
      </c>
      <c r="X4" s="9" t="s">
        <v>460</v>
      </c>
      <c r="Y4" s="9" t="s">
        <v>461</v>
      </c>
      <c r="Z4" s="9" t="s">
        <v>462</v>
      </c>
      <c r="AA4" s="9" t="s">
        <v>463</v>
      </c>
      <c r="AB4" s="9" t="s">
        <v>464</v>
      </c>
      <c r="AC4" s="9" t="s">
        <v>465</v>
      </c>
      <c r="AD4" s="9" t="s">
        <v>466</v>
      </c>
      <c r="AE4" s="9" t="s">
        <v>467</v>
      </c>
      <c r="AF4" s="9" t="s">
        <v>468</v>
      </c>
      <c r="AG4" s="9" t="s">
        <v>469</v>
      </c>
      <c r="AH4" s="9" t="s">
        <v>470</v>
      </c>
      <c r="AI4" s="9" t="s">
        <v>471</v>
      </c>
      <c r="AJ4" s="9" t="s">
        <v>472</v>
      </c>
      <c r="AK4" s="9" t="s">
        <v>473</v>
      </c>
      <c r="AL4" s="9" t="s">
        <v>474</v>
      </c>
      <c r="AM4" s="9" t="s">
        <v>475</v>
      </c>
      <c r="AN4" s="9" t="s">
        <v>476</v>
      </c>
      <c r="AO4" s="9" t="s">
        <v>477</v>
      </c>
      <c r="AP4" s="9" t="s">
        <v>478</v>
      </c>
      <c r="AQ4" s="9" t="s">
        <v>479</v>
      </c>
      <c r="AR4" s="9" t="s">
        <v>391</v>
      </c>
      <c r="AS4" s="9" t="s">
        <v>480</v>
      </c>
      <c r="AT4" s="9" t="s">
        <v>481</v>
      </c>
      <c r="AU4" s="9" t="s">
        <v>482</v>
      </c>
      <c r="AV4" s="9" t="s">
        <v>483</v>
      </c>
      <c r="AW4" s="9" t="s">
        <v>484</v>
      </c>
      <c r="AX4" s="9" t="s">
        <v>485</v>
      </c>
      <c r="AY4" s="9" t="s">
        <v>486</v>
      </c>
      <c r="AZ4" s="9" t="s">
        <v>436</v>
      </c>
      <c r="BA4" s="9" t="s">
        <v>487</v>
      </c>
      <c r="BB4" s="9" t="s">
        <v>488</v>
      </c>
      <c r="BC4" s="9" t="s">
        <v>489</v>
      </c>
      <c r="BD4" s="9" t="s">
        <v>490</v>
      </c>
      <c r="BE4" s="9" t="s">
        <v>491</v>
      </c>
      <c r="BF4" s="9" t="s">
        <v>492</v>
      </c>
      <c r="BG4" s="9" t="s">
        <v>493</v>
      </c>
      <c r="BH4" s="9" t="s">
        <v>494</v>
      </c>
      <c r="BI4" s="9" t="s">
        <v>495</v>
      </c>
      <c r="BJ4" s="9" t="s">
        <v>496</v>
      </c>
      <c r="BK4" s="9" t="s">
        <v>497</v>
      </c>
      <c r="BL4" s="9" t="s">
        <v>498</v>
      </c>
      <c r="BM4" s="9" t="s">
        <v>499</v>
      </c>
      <c r="BN4" s="9" t="s">
        <v>500</v>
      </c>
      <c r="BO4" s="9" t="s">
        <v>501</v>
      </c>
      <c r="BP4" s="9" t="s">
        <v>502</v>
      </c>
      <c r="BQ4" s="9" t="s">
        <v>503</v>
      </c>
      <c r="BR4" s="9" t="s">
        <v>504</v>
      </c>
      <c r="BS4" s="9" t="s">
        <v>505</v>
      </c>
      <c r="BT4" s="9" t="s">
        <v>506</v>
      </c>
      <c r="BU4" s="9" t="s">
        <v>507</v>
      </c>
      <c r="BV4" s="9" t="s">
        <v>508</v>
      </c>
      <c r="BW4" s="9" t="s">
        <v>509</v>
      </c>
      <c r="BX4" s="9" t="s">
        <v>510</v>
      </c>
      <c r="BY4" s="9" t="s">
        <v>511</v>
      </c>
      <c r="BZ4" s="9" t="s">
        <v>512</v>
      </c>
      <c r="CA4" s="9" t="s">
        <v>513</v>
      </c>
      <c r="CB4" s="9" t="s">
        <v>514</v>
      </c>
      <c r="CC4" s="9" t="s">
        <v>515</v>
      </c>
      <c r="CD4" s="9" t="s">
        <v>516</v>
      </c>
      <c r="CE4" s="9" t="s">
        <v>517</v>
      </c>
      <c r="CF4" s="9" t="s">
        <v>518</v>
      </c>
      <c r="CG4" s="9" t="s">
        <v>519</v>
      </c>
      <c r="CH4" s="9" t="s">
        <v>520</v>
      </c>
      <c r="CI4" s="9" t="s">
        <v>521</v>
      </c>
      <c r="CJ4" s="9" t="s">
        <v>522</v>
      </c>
      <c r="CK4" s="9" t="s">
        <v>523</v>
      </c>
      <c r="CL4" s="9" t="s">
        <v>524</v>
      </c>
    </row>
    <row r="5" spans="1:90" ht="43.5" x14ac:dyDescent="0.35">
      <c r="A5" s="50" t="s">
        <v>525</v>
      </c>
      <c r="B5" s="50" t="s">
        <v>168</v>
      </c>
      <c r="C5" s="50" t="s">
        <v>47</v>
      </c>
      <c r="D5" s="50" t="s">
        <v>52</v>
      </c>
      <c r="E5" s="50" t="s">
        <v>526</v>
      </c>
      <c r="F5" s="50" t="s">
        <v>527</v>
      </c>
      <c r="G5" s="50" t="s">
        <v>528</v>
      </c>
      <c r="H5" s="50" t="s">
        <v>529</v>
      </c>
      <c r="I5" s="50" t="s">
        <v>158</v>
      </c>
      <c r="J5" s="50" t="s">
        <v>530</v>
      </c>
      <c r="K5" s="50" t="s">
        <v>531</v>
      </c>
      <c r="L5" s="50" t="s">
        <v>158</v>
      </c>
      <c r="M5" s="50" t="s">
        <v>532</v>
      </c>
      <c r="N5" s="50" t="s">
        <v>156</v>
      </c>
      <c r="O5" s="50" t="s">
        <v>533</v>
      </c>
      <c r="P5" s="50" t="s">
        <v>534</v>
      </c>
      <c r="Q5" s="50" t="s">
        <v>535</v>
      </c>
      <c r="R5" s="50" t="s">
        <v>299</v>
      </c>
      <c r="S5" s="50" t="s">
        <v>536</v>
      </c>
      <c r="T5" s="50" t="s">
        <v>537</v>
      </c>
      <c r="U5" s="50" t="s">
        <v>538</v>
      </c>
      <c r="V5" s="50" t="s">
        <v>539</v>
      </c>
      <c r="W5" s="50" t="s">
        <v>540</v>
      </c>
      <c r="X5" s="50" t="s">
        <v>541</v>
      </c>
      <c r="Y5" s="50" t="s">
        <v>542</v>
      </c>
      <c r="Z5" s="50" t="s">
        <v>543</v>
      </c>
      <c r="AA5" s="50" t="s">
        <v>544</v>
      </c>
      <c r="AB5" s="50" t="s">
        <v>545</v>
      </c>
      <c r="AC5" s="50" t="s">
        <v>546</v>
      </c>
      <c r="AD5" s="50" t="s">
        <v>547</v>
      </c>
      <c r="AE5" s="16">
        <f>IF(ISNUMBER(SEARCH('Scenario Definitions'!$C$5,N5)),1,0)</f>
        <v>1</v>
      </c>
      <c r="AF5" s="16">
        <f>IFERROR(VLOOKUP(R5,'Assumptions &amp; Inputs'!$A$31:$F$69,3,FALSE),0)</f>
        <v>1</v>
      </c>
      <c r="AG5" s="16">
        <f>IFERROR(VLOOKUP(R5,'Assumptions &amp; Inputs'!$A$31:$F$69,4,FALSE),0)</f>
        <v>1</v>
      </c>
      <c r="AH5" s="17">
        <f>IFERROR(VLOOKUP(R5,'Assumptions &amp; Inputs'!$A$31:$F$69,5,FALSE),0)</f>
        <v>1</v>
      </c>
      <c r="AI5" s="11">
        <v>90</v>
      </c>
      <c r="AJ5" s="11">
        <v>120</v>
      </c>
      <c r="AK5" s="11">
        <v>180</v>
      </c>
      <c r="AL5" s="11">
        <v>0</v>
      </c>
      <c r="AM5" s="11">
        <v>0</v>
      </c>
      <c r="AN5" s="11">
        <v>0</v>
      </c>
      <c r="AO5" s="36">
        <f t="shared" ref="AO5:AO36" si="0">AI5+(AF5*AL5)</f>
        <v>90</v>
      </c>
      <c r="AP5" s="16">
        <f t="shared" ref="AP5:AP36" si="1">AJ5+(AG5*AM5)</f>
        <v>120</v>
      </c>
      <c r="AQ5" s="17">
        <f t="shared" ref="AQ5:AQ36" si="2">AK5+(AH5*AN5)</f>
        <v>180</v>
      </c>
      <c r="AR5" s="58" t="s">
        <v>404</v>
      </c>
      <c r="AS5" s="32">
        <f>IFERROR(VLOOKUP(AR5,'Assumptions &amp; Inputs'!$A$73:$I$100,9,FALSE),0)</f>
        <v>120</v>
      </c>
      <c r="AT5" s="24">
        <f t="shared" ref="AT5:AT36" si="3">AO5*AS5</f>
        <v>10800</v>
      </c>
      <c r="AU5" s="24">
        <f t="shared" ref="AU5:AU36" si="4">AP5*AS5</f>
        <v>14400</v>
      </c>
      <c r="AV5" s="25">
        <f t="shared" ref="AV5:AV36" si="5">AQ5*AS5</f>
        <v>21600</v>
      </c>
      <c r="AW5" s="57">
        <v>3000</v>
      </c>
      <c r="AX5" s="57">
        <v>8000</v>
      </c>
      <c r="AY5" s="57">
        <v>18000</v>
      </c>
      <c r="AZ5" s="32">
        <f>IFERROR(VLOOKUP(C5,'Assumptions &amp; Inputs'!$A$104:$B$107,2,FALSE),0)</f>
        <v>0.25</v>
      </c>
      <c r="BA5" s="24">
        <f t="shared" ref="BA5:BA36" si="6">AT5*AZ5</f>
        <v>2700</v>
      </c>
      <c r="BB5" s="24">
        <f t="shared" ref="BB5:BB36" si="7">AU5*AZ5</f>
        <v>3600</v>
      </c>
      <c r="BC5" s="25">
        <f t="shared" ref="BC5:BC36" si="8">AV5*AZ5</f>
        <v>5400</v>
      </c>
      <c r="BD5" s="57" t="s">
        <v>209</v>
      </c>
      <c r="BE5" s="32">
        <f>IF(BD5="Yes",(AT5+AW5)*VLOOKUP("IN-34",'Assumptions &amp; Inputs'!$A$31:$F$69,3,FALSE),0)</f>
        <v>690</v>
      </c>
      <c r="BF5" s="24">
        <f>IF(BD5="Yes",(AU5+AX5)*VLOOKUP("IN-34",'Assumptions &amp; Inputs'!$A$31:$F$69,4,FALSE),0)</f>
        <v>1680</v>
      </c>
      <c r="BG5" s="24">
        <f>IF(BD5="Yes",(AV5+AY5)*VLOOKUP("IN-34",'Assumptions &amp; Inputs'!$A$31:$F$69,5,FALSE),0)</f>
        <v>5940</v>
      </c>
      <c r="BH5" s="24">
        <f t="shared" ref="BH5:BH36" si="9">AT5+AW5+BA5+BE5</f>
        <v>17190</v>
      </c>
      <c r="BI5" s="24">
        <f t="shared" ref="BI5:BI36" si="10">AU5+AX5+BB5+BF5</f>
        <v>27680</v>
      </c>
      <c r="BJ5" s="25">
        <f t="shared" ref="BJ5:BJ36" si="11">AV5+AY5+BC5+BG5</f>
        <v>50940</v>
      </c>
      <c r="BK5" s="58" t="s">
        <v>548</v>
      </c>
      <c r="BL5" s="58" t="s">
        <v>549</v>
      </c>
      <c r="BM5" s="58" t="s">
        <v>544</v>
      </c>
      <c r="BN5" s="58" t="s">
        <v>550</v>
      </c>
      <c r="BO5" s="5">
        <f t="shared" ref="BO5:BO36" si="12">IF(ISNUMBER(SEARCH("1A",N5)),1,0)</f>
        <v>1</v>
      </c>
      <c r="BP5" s="5">
        <f t="shared" ref="BP5:BP36" si="13">IF(ISNUMBER(SEARCH("1B",N5)),1,0)</f>
        <v>1</v>
      </c>
      <c r="BQ5" s="5">
        <f t="shared" ref="BQ5:BQ36" si="14">IF(ISNUMBER(SEARCH("2A",N5)),1,0)</f>
        <v>1</v>
      </c>
      <c r="BR5" s="5">
        <f t="shared" ref="BR5:BR36" si="15">IF(ISNUMBER(SEARCH("2B",N5)),1,0)</f>
        <v>1</v>
      </c>
      <c r="BS5" s="5">
        <f t="shared" ref="BS5:BS36" si="16">IF(ISNUMBER(SEARCH("3A",N5)),1,0)</f>
        <v>1</v>
      </c>
      <c r="BT5" s="5">
        <f t="shared" ref="BT5:BT36" si="17">IF(ISNUMBER(SEARCH("3B",N5)),1,0)</f>
        <v>1</v>
      </c>
      <c r="BU5" s="4">
        <f>IF(BO5=1,((AI5+(IF(R5="IN-07",'Assumptions &amp; Inputs'!$C$66,AF5))*AL5)*AS5)+AW5+(((AI5+(IF(R5="IN-07",'Assumptions &amp; Inputs'!$C$66,AF5))*AL5)*AS5)*AZ5)+IF(BD5="Yes",(((AI5+(IF(R5="IN-07",'Assumptions &amp; Inputs'!$C$66,AF5))*AL5)*AS5)+AW5)*VLOOKUP("IN-34",'Assumptions &amp; Inputs'!$A$31:$F$69,3,FALSE),0),0)</f>
        <v>17190</v>
      </c>
      <c r="BV5" s="4">
        <f>IF(BO5=1,((AJ5+(IF(R5="IN-07",'Assumptions &amp; Inputs'!$D$66,AG5))*AM5)*AS5)+AX5+(((AJ5+(IF(R5="IN-07",'Assumptions &amp; Inputs'!$D$66,AG5))*AM5)*AS5)*AZ5)+IF(BD5="Yes",(((AJ5+(IF(R5="IN-07",'Assumptions &amp; Inputs'!$D$66,AG5))*AM5)*AS5)+AX5)*VLOOKUP("IN-34",'Assumptions &amp; Inputs'!$A$31:$F$69,4,FALSE),0),0)</f>
        <v>27680</v>
      </c>
      <c r="BW5" s="4">
        <f>IF(BO5=1,((AK5+(IF(R5="IN-07",'Assumptions &amp; Inputs'!$E$66,AH5))*AN5)*AS5)+AY5+(((AK5+(IF(R5="IN-07",'Assumptions &amp; Inputs'!$E$66,AH5))*AN5)*AS5)*AZ5)+IF(BD5="Yes",(((AK5+(IF(R5="IN-07",'Assumptions &amp; Inputs'!$E$66,AH5))*AN5)*AS5)+AY5)*VLOOKUP("IN-34",'Assumptions &amp; Inputs'!$A$31:$F$69,5,FALSE),0),0)</f>
        <v>50940</v>
      </c>
      <c r="BX5" s="4">
        <f>IF(BP5=1,((AI5+(IF(R5="IN-07",'Assumptions &amp; Inputs'!$C$66,AF5))*AL5)*AS5)+AW5+(((AI5+(IF(R5="IN-07",'Assumptions &amp; Inputs'!$C$66,AF5))*AL5)*AS5)*AZ5)+IF(BD5="Yes",(((AI5+(IF(R5="IN-07",'Assumptions &amp; Inputs'!$C$66,AF5))*AL5)*AS5)+AW5)*VLOOKUP("IN-34",'Assumptions &amp; Inputs'!$A$31:$F$69,3,FALSE),0),0)</f>
        <v>17190</v>
      </c>
      <c r="BY5" s="4">
        <f>IF(BP5=1,((AJ5+(IF(R5="IN-07",'Assumptions &amp; Inputs'!$D$66,AG5))*AM5)*AS5)+AX5+(((AJ5+(IF(R5="IN-07",'Assumptions &amp; Inputs'!$D$66,AG5))*AM5)*AS5)*AZ5)+IF(BD5="Yes",(((AJ5+(IF(R5="IN-07",'Assumptions &amp; Inputs'!$D$66,AG5))*AM5)*AS5)+AX5)*VLOOKUP("IN-34",'Assumptions &amp; Inputs'!$A$31:$F$69,4,FALSE),0),0)</f>
        <v>27680</v>
      </c>
      <c r="BZ5" s="4">
        <f>IF(BP5=1,((AK5+(IF(R5="IN-07",'Assumptions &amp; Inputs'!$E$66,AH5))*AN5)*AS5)+AY5+(((AK5+(IF(R5="IN-07",'Assumptions &amp; Inputs'!$E$66,AH5))*AN5)*AS5)*AZ5)+IF(BD5="Yes",(((AK5+(IF(R5="IN-07",'Assumptions &amp; Inputs'!$E$66,AH5))*AN5)*AS5)+AY5)*VLOOKUP("IN-34",'Assumptions &amp; Inputs'!$A$31:$F$69,5,FALSE),0),0)</f>
        <v>50940</v>
      </c>
      <c r="CA5" s="4">
        <f>IF(BQ5=1,((AI5+(IF(R5="IN-07",'Assumptions &amp; Inputs'!$C$65,AF5))*AL5)*AS5)+AW5+(((AI5+(IF(R5="IN-07",'Assumptions &amp; Inputs'!$C$65,AF5))*AL5)*AS5)*AZ5)+IF(BD5="Yes",(((AI5+(IF(R5="IN-07",'Assumptions &amp; Inputs'!$C$65,AF5))*AL5)*AS5)+AW5)*VLOOKUP("IN-34",'Assumptions &amp; Inputs'!$A$31:$F$69,3,FALSE),0),0)</f>
        <v>17190</v>
      </c>
      <c r="CB5" s="4">
        <f>IF(BQ5=1,((AJ5+(IF(R5="IN-07",'Assumptions &amp; Inputs'!$D$65,AG5))*AM5)*AS5)+AX5+(((AJ5+(IF(R5="IN-07",'Assumptions &amp; Inputs'!$D$65,AG5))*AM5)*AS5)*AZ5)+IF(BD5="Yes",(((AJ5+(IF(R5="IN-07",'Assumptions &amp; Inputs'!$D$65,AG5))*AM5)*AS5)+AX5)*VLOOKUP("IN-34",'Assumptions &amp; Inputs'!$A$31:$F$69,4,FALSE),0),0)</f>
        <v>27680</v>
      </c>
      <c r="CC5" s="4">
        <f>IF(BQ5=1,((AK5+(IF(R5="IN-07",'Assumptions &amp; Inputs'!$E$65,AH5))*AN5)*AS5)+AY5+(((AK5+(IF(R5="IN-07",'Assumptions &amp; Inputs'!$E$65,AH5))*AN5)*AS5)*AZ5)+IF(BD5="Yes",(((AK5+(IF(R5="IN-07",'Assumptions &amp; Inputs'!$E$65,AH5))*AN5)*AS5)+AY5)*VLOOKUP("IN-34",'Assumptions &amp; Inputs'!$A$31:$F$69,5,FALSE),0),0)</f>
        <v>50940</v>
      </c>
      <c r="CD5" s="4">
        <f>IF(BR5=1,((AI5+(IF(R5="IN-07",'Assumptions &amp; Inputs'!$C$65,AF5))*AL5)*AS5)+AW5+(((AI5+(IF(R5="IN-07",'Assumptions &amp; Inputs'!$C$65,AF5))*AL5)*AS5)*AZ5)+IF(BD5="Yes",(((AI5+(IF(R5="IN-07",'Assumptions &amp; Inputs'!$C$65,AF5))*AL5)*AS5)+AW5)*VLOOKUP("IN-34",'Assumptions &amp; Inputs'!$A$31:$F$69,3,FALSE),0),0)</f>
        <v>17190</v>
      </c>
      <c r="CE5" s="4">
        <f>IF(BR5=1,((AJ5+(IF(R5="IN-07",'Assumptions &amp; Inputs'!$D$65,AG5))*AM5)*AS5)+AX5+(((AJ5+(IF(R5="IN-07",'Assumptions &amp; Inputs'!$D$65,AG5))*AM5)*AS5)*AZ5)+IF(BD5="Yes",(((AJ5+(IF(R5="IN-07",'Assumptions &amp; Inputs'!$D$65,AG5))*AM5)*AS5)+AX5)*VLOOKUP("IN-34",'Assumptions &amp; Inputs'!$A$31:$F$69,4,FALSE),0),0)</f>
        <v>27680</v>
      </c>
      <c r="CF5" s="4">
        <f>IF(BR5=1,((AK5+(IF(R5="IN-07",'Assumptions &amp; Inputs'!$E$65,AH5))*AN5)*AS5)+AY5+(((AK5+(IF(R5="IN-07",'Assumptions &amp; Inputs'!$E$65,AH5))*AN5)*AS5)*AZ5)+IF(BD5="Yes",(((AK5+(IF(R5="IN-07",'Assumptions &amp; Inputs'!$E$65,AH5))*AN5)*AS5)+AY5)*VLOOKUP("IN-34",'Assumptions &amp; Inputs'!$A$31:$F$69,5,FALSE),0),0)</f>
        <v>50940</v>
      </c>
      <c r="CG5" s="4">
        <f>IF(BS5=1,((AI5+(IF(R5="IN-07",0,AF5))*AL5)*AS5)+AW5+(((AI5+(IF(R5="IN-07",0,AF5))*AL5)*AS5)*AZ5)+IF(BD5="Yes",(((AI5+(IF(R5="IN-07",0,AF5))*AL5)*AS5)+AW5)*VLOOKUP("IN-34",'Assumptions &amp; Inputs'!$A$31:$F$69,3,FALSE),0),0)</f>
        <v>17190</v>
      </c>
      <c r="CH5" s="4">
        <f>IF(BS5=1,((AJ5+(IF(R5="IN-07",0,AG5))*AM5)*AS5)+AX5+(((AJ5+(IF(R5="IN-07",0,AG5))*AM5)*AS5)*AZ5)+IF(BD5="Yes",(((AJ5+(IF(R5="IN-07",0,AG5))*AM5)*AS5)+AX5)*VLOOKUP("IN-34",'Assumptions &amp; Inputs'!$A$31:$F$69,4,FALSE),0),0)</f>
        <v>27680</v>
      </c>
      <c r="CI5" s="4">
        <f>IF(BS5=1,((AK5+(IF(R5="IN-07",0,AH5))*AN5)*AS5)+AY5+(((AK5+(IF(R5="IN-07",0,AH5))*AN5)*AS5)*AZ5)+IF(BD5="Yes",(((AK5+(IF(R5="IN-07",0,AH5))*AN5)*AS5)+AY5)*VLOOKUP("IN-34",'Assumptions &amp; Inputs'!$A$31:$F$69,5,FALSE),0),0)</f>
        <v>50940</v>
      </c>
      <c r="CJ5" s="4">
        <f>IF(BT5=1,((AI5+(IF(R5="IN-07",0,AF5))*AL5)*AS5)+AW5+(((AI5+(IF(R5="IN-07",0,AF5))*AL5)*AS5)*AZ5)+IF(BD5="Yes",(((AI5+(IF(R5="IN-07",0,AF5))*AL5)*AS5)+AW5)*VLOOKUP("IN-34",'Assumptions &amp; Inputs'!$A$31:$F$69,3,FALSE),0),0)</f>
        <v>17190</v>
      </c>
      <c r="CK5" s="4">
        <f>IF(BT5=1,((AJ5+(IF(R5="IN-07",0,AG5))*AM5)*AS5)+AX5+(((AJ5+(IF(R5="IN-07",0,AG5))*AM5)*AS5)*AZ5)+IF(BD5="Yes",(((AJ5+(IF(R5="IN-07",0,AG5))*AM5)*AS5)+AX5)*VLOOKUP("IN-34",'Assumptions &amp; Inputs'!$A$31:$F$69,4,FALSE),0),0)</f>
        <v>27680</v>
      </c>
      <c r="CL5" s="4">
        <f>IF(BT5=1,((AK5+(IF(R5="IN-07",0,AH5))*AN5)*AS5)+AY5+(((AK5+(IF(R5="IN-07",0,AH5))*AN5)*AS5)*AZ5)+IF(BD5="Yes",(((AK5+(IF(R5="IN-07",0,AH5))*AN5)*AS5)+AY5)*VLOOKUP("IN-34",'Assumptions &amp; Inputs'!$A$31:$F$69,5,FALSE),0),0)</f>
        <v>50940</v>
      </c>
    </row>
    <row r="6" spans="1:90" ht="43.5" x14ac:dyDescent="0.35">
      <c r="A6" s="50" t="s">
        <v>551</v>
      </c>
      <c r="B6" s="50" t="s">
        <v>168</v>
      </c>
      <c r="C6" s="50" t="s">
        <v>47</v>
      </c>
      <c r="D6" s="50" t="s">
        <v>52</v>
      </c>
      <c r="E6" s="50" t="s">
        <v>526</v>
      </c>
      <c r="F6" s="50" t="s">
        <v>552</v>
      </c>
      <c r="G6" s="50" t="s">
        <v>553</v>
      </c>
      <c r="H6" s="50" t="s">
        <v>554</v>
      </c>
      <c r="I6" s="50" t="s">
        <v>158</v>
      </c>
      <c r="J6" s="50" t="s">
        <v>530</v>
      </c>
      <c r="K6" s="50" t="s">
        <v>555</v>
      </c>
      <c r="L6" s="50" t="s">
        <v>158</v>
      </c>
      <c r="M6" s="50" t="s">
        <v>532</v>
      </c>
      <c r="N6" s="50" t="s">
        <v>156</v>
      </c>
      <c r="O6" s="50" t="s">
        <v>533</v>
      </c>
      <c r="P6" s="50" t="s">
        <v>556</v>
      </c>
      <c r="Q6" s="50" t="s">
        <v>557</v>
      </c>
      <c r="R6" s="50" t="s">
        <v>339</v>
      </c>
      <c r="S6" s="50" t="s">
        <v>558</v>
      </c>
      <c r="T6" s="50" t="s">
        <v>537</v>
      </c>
      <c r="U6" s="50" t="s">
        <v>559</v>
      </c>
      <c r="V6" s="50" t="s">
        <v>539</v>
      </c>
      <c r="W6" s="50" t="s">
        <v>540</v>
      </c>
      <c r="X6" s="50" t="s">
        <v>541</v>
      </c>
      <c r="Y6" s="50" t="s">
        <v>560</v>
      </c>
      <c r="Z6" s="50" t="s">
        <v>543</v>
      </c>
      <c r="AA6" s="50" t="s">
        <v>544</v>
      </c>
      <c r="AB6" s="50" t="s">
        <v>545</v>
      </c>
      <c r="AC6" s="50" t="s">
        <v>561</v>
      </c>
      <c r="AD6" s="50" t="s">
        <v>547</v>
      </c>
      <c r="AE6" s="16">
        <f>IF(ISNUMBER(SEARCH('Scenario Definitions'!$C$5,N6)),1,0)</f>
        <v>1</v>
      </c>
      <c r="AF6" s="16">
        <f>IFERROR(VLOOKUP(R6,'Assumptions &amp; Inputs'!$A$31:$F$69,3,FALSE),0)</f>
        <v>12</v>
      </c>
      <c r="AG6" s="16">
        <f>IFERROR(VLOOKUP(R6,'Assumptions &amp; Inputs'!$A$31:$F$69,4,FALSE),0)</f>
        <v>12</v>
      </c>
      <c r="AH6" s="17">
        <f>IFERROR(VLOOKUP(R6,'Assumptions &amp; Inputs'!$A$31:$F$69,5,FALSE),0)</f>
        <v>14</v>
      </c>
      <c r="AI6" s="11">
        <v>0</v>
      </c>
      <c r="AJ6" s="11">
        <v>0</v>
      </c>
      <c r="AK6" s="11">
        <v>0</v>
      </c>
      <c r="AL6" s="11">
        <v>24</v>
      </c>
      <c r="AM6" s="11">
        <v>32</v>
      </c>
      <c r="AN6" s="11">
        <v>48</v>
      </c>
      <c r="AO6" s="36">
        <f t="shared" si="0"/>
        <v>288</v>
      </c>
      <c r="AP6" s="16">
        <f t="shared" si="1"/>
        <v>384</v>
      </c>
      <c r="AQ6" s="17">
        <f t="shared" si="2"/>
        <v>672</v>
      </c>
      <c r="AR6" s="58" t="s">
        <v>404</v>
      </c>
      <c r="AS6" s="32">
        <f>IFERROR(VLOOKUP(AR6,'Assumptions &amp; Inputs'!$A$73:$I$100,9,FALSE),0)</f>
        <v>120</v>
      </c>
      <c r="AT6" s="24">
        <f t="shared" si="3"/>
        <v>34560</v>
      </c>
      <c r="AU6" s="24">
        <f t="shared" si="4"/>
        <v>46080</v>
      </c>
      <c r="AV6" s="25">
        <f t="shared" si="5"/>
        <v>80640</v>
      </c>
      <c r="AW6" s="57">
        <v>2000</v>
      </c>
      <c r="AX6" s="57">
        <v>5000</v>
      </c>
      <c r="AY6" s="57">
        <v>12000</v>
      </c>
      <c r="AZ6" s="32">
        <f>IFERROR(VLOOKUP(C6,'Assumptions &amp; Inputs'!$A$104:$B$107,2,FALSE),0)</f>
        <v>0.25</v>
      </c>
      <c r="BA6" s="24">
        <f t="shared" si="6"/>
        <v>8640</v>
      </c>
      <c r="BB6" s="24">
        <f t="shared" si="7"/>
        <v>11520</v>
      </c>
      <c r="BC6" s="25">
        <f t="shared" si="8"/>
        <v>20160</v>
      </c>
      <c r="BD6" s="57" t="s">
        <v>209</v>
      </c>
      <c r="BE6" s="32">
        <f>IF(BD6="Yes",(AT6+AW6)*VLOOKUP("IN-34",'Assumptions &amp; Inputs'!$A$31:$F$69,3,FALSE),0)</f>
        <v>1828</v>
      </c>
      <c r="BF6" s="24">
        <f>IF(BD6="Yes",(AU6+AX6)*VLOOKUP("IN-34",'Assumptions &amp; Inputs'!$A$31:$F$69,4,FALSE),0)</f>
        <v>3831</v>
      </c>
      <c r="BG6" s="24">
        <f>IF(BD6="Yes",(AV6+AY6)*VLOOKUP("IN-34",'Assumptions &amp; Inputs'!$A$31:$F$69,5,FALSE),0)</f>
        <v>13896</v>
      </c>
      <c r="BH6" s="24">
        <f t="shared" si="9"/>
        <v>47028</v>
      </c>
      <c r="BI6" s="24">
        <f t="shared" si="10"/>
        <v>66431</v>
      </c>
      <c r="BJ6" s="25">
        <f t="shared" si="11"/>
        <v>126696</v>
      </c>
      <c r="BK6" s="58" t="s">
        <v>548</v>
      </c>
      <c r="BL6" s="58" t="s">
        <v>549</v>
      </c>
      <c r="BM6" s="58" t="s">
        <v>544</v>
      </c>
      <c r="BN6" s="58" t="s">
        <v>550</v>
      </c>
      <c r="BO6" s="5">
        <f t="shared" si="12"/>
        <v>1</v>
      </c>
      <c r="BP6" s="5">
        <f t="shared" si="13"/>
        <v>1</v>
      </c>
      <c r="BQ6" s="5">
        <f t="shared" si="14"/>
        <v>1</v>
      </c>
      <c r="BR6" s="5">
        <f t="shared" si="15"/>
        <v>1</v>
      </c>
      <c r="BS6" s="5">
        <f t="shared" si="16"/>
        <v>1</v>
      </c>
      <c r="BT6" s="5">
        <f t="shared" si="17"/>
        <v>1</v>
      </c>
      <c r="BU6" s="4">
        <f>IF(BO6=1,((AI6+(IF(R6="IN-07",'Assumptions &amp; Inputs'!$C$66,AF6))*AL6)*AS6)+AW6+(((AI6+(IF(R6="IN-07",'Assumptions &amp; Inputs'!$C$66,AF6))*AL6)*AS6)*AZ6)+IF(BD6="Yes",(((AI6+(IF(R6="IN-07",'Assumptions &amp; Inputs'!$C$66,AF6))*AL6)*AS6)+AW6)*VLOOKUP("IN-34",'Assumptions &amp; Inputs'!$A$31:$F$69,3,FALSE),0),0)</f>
        <v>47028</v>
      </c>
      <c r="BV6" s="4">
        <f>IF(BO6=1,((AJ6+(IF(R6="IN-07",'Assumptions &amp; Inputs'!$D$66,AG6))*AM6)*AS6)+AX6+(((AJ6+(IF(R6="IN-07",'Assumptions &amp; Inputs'!$D$66,AG6))*AM6)*AS6)*AZ6)+IF(BD6="Yes",(((AJ6+(IF(R6="IN-07",'Assumptions &amp; Inputs'!$D$66,AG6))*AM6)*AS6)+AX6)*VLOOKUP("IN-34",'Assumptions &amp; Inputs'!$A$31:$F$69,4,FALSE),0),0)</f>
        <v>66431</v>
      </c>
      <c r="BW6" s="4">
        <f>IF(BO6=1,((AK6+(IF(R6="IN-07",'Assumptions &amp; Inputs'!$E$66,AH6))*AN6)*AS6)+AY6+(((AK6+(IF(R6="IN-07",'Assumptions &amp; Inputs'!$E$66,AH6))*AN6)*AS6)*AZ6)+IF(BD6="Yes",(((AK6+(IF(R6="IN-07",'Assumptions &amp; Inputs'!$E$66,AH6))*AN6)*AS6)+AY6)*VLOOKUP("IN-34",'Assumptions &amp; Inputs'!$A$31:$F$69,5,FALSE),0),0)</f>
        <v>126696</v>
      </c>
      <c r="BX6" s="4">
        <f>IF(BP6=1,((AI6+(IF(R6="IN-07",'Assumptions &amp; Inputs'!$C$66,AF6))*AL6)*AS6)+AW6+(((AI6+(IF(R6="IN-07",'Assumptions &amp; Inputs'!$C$66,AF6))*AL6)*AS6)*AZ6)+IF(BD6="Yes",(((AI6+(IF(R6="IN-07",'Assumptions &amp; Inputs'!$C$66,AF6))*AL6)*AS6)+AW6)*VLOOKUP("IN-34",'Assumptions &amp; Inputs'!$A$31:$F$69,3,FALSE),0),0)</f>
        <v>47028</v>
      </c>
      <c r="BY6" s="4">
        <f>IF(BP6=1,((AJ6+(IF(R6="IN-07",'Assumptions &amp; Inputs'!$D$66,AG6))*AM6)*AS6)+AX6+(((AJ6+(IF(R6="IN-07",'Assumptions &amp; Inputs'!$D$66,AG6))*AM6)*AS6)*AZ6)+IF(BD6="Yes",(((AJ6+(IF(R6="IN-07",'Assumptions &amp; Inputs'!$D$66,AG6))*AM6)*AS6)+AX6)*VLOOKUP("IN-34",'Assumptions &amp; Inputs'!$A$31:$F$69,4,FALSE),0),0)</f>
        <v>66431</v>
      </c>
      <c r="BZ6" s="4">
        <f>IF(BP6=1,((AK6+(IF(R6="IN-07",'Assumptions &amp; Inputs'!$E$66,AH6))*AN6)*AS6)+AY6+(((AK6+(IF(R6="IN-07",'Assumptions &amp; Inputs'!$E$66,AH6))*AN6)*AS6)*AZ6)+IF(BD6="Yes",(((AK6+(IF(R6="IN-07",'Assumptions &amp; Inputs'!$E$66,AH6))*AN6)*AS6)+AY6)*VLOOKUP("IN-34",'Assumptions &amp; Inputs'!$A$31:$F$69,5,FALSE),0),0)</f>
        <v>126696</v>
      </c>
      <c r="CA6" s="4">
        <f>IF(BQ6=1,((AI6+(IF(R6="IN-07",'Assumptions &amp; Inputs'!$C$65,AF6))*AL6)*AS6)+AW6+(((AI6+(IF(R6="IN-07",'Assumptions &amp; Inputs'!$C$65,AF6))*AL6)*AS6)*AZ6)+IF(BD6="Yes",(((AI6+(IF(R6="IN-07",'Assumptions &amp; Inputs'!$C$65,AF6))*AL6)*AS6)+AW6)*VLOOKUP("IN-34",'Assumptions &amp; Inputs'!$A$31:$F$69,3,FALSE),0),0)</f>
        <v>47028</v>
      </c>
      <c r="CB6" s="4">
        <f>IF(BQ6=1,((AJ6+(IF(R6="IN-07",'Assumptions &amp; Inputs'!$D$65,AG6))*AM6)*AS6)+AX6+(((AJ6+(IF(R6="IN-07",'Assumptions &amp; Inputs'!$D$65,AG6))*AM6)*AS6)*AZ6)+IF(BD6="Yes",(((AJ6+(IF(R6="IN-07",'Assumptions &amp; Inputs'!$D$65,AG6))*AM6)*AS6)+AX6)*VLOOKUP("IN-34",'Assumptions &amp; Inputs'!$A$31:$F$69,4,FALSE),0),0)</f>
        <v>66431</v>
      </c>
      <c r="CC6" s="4">
        <f>IF(BQ6=1,((AK6+(IF(R6="IN-07",'Assumptions &amp; Inputs'!$E$65,AH6))*AN6)*AS6)+AY6+(((AK6+(IF(R6="IN-07",'Assumptions &amp; Inputs'!$E$65,AH6))*AN6)*AS6)*AZ6)+IF(BD6="Yes",(((AK6+(IF(R6="IN-07",'Assumptions &amp; Inputs'!$E$65,AH6))*AN6)*AS6)+AY6)*VLOOKUP("IN-34",'Assumptions &amp; Inputs'!$A$31:$F$69,5,FALSE),0),0)</f>
        <v>126696</v>
      </c>
      <c r="CD6" s="4">
        <f>IF(BR6=1,((AI6+(IF(R6="IN-07",'Assumptions &amp; Inputs'!$C$65,AF6))*AL6)*AS6)+AW6+(((AI6+(IF(R6="IN-07",'Assumptions &amp; Inputs'!$C$65,AF6))*AL6)*AS6)*AZ6)+IF(BD6="Yes",(((AI6+(IF(R6="IN-07",'Assumptions &amp; Inputs'!$C$65,AF6))*AL6)*AS6)+AW6)*VLOOKUP("IN-34",'Assumptions &amp; Inputs'!$A$31:$F$69,3,FALSE),0),0)</f>
        <v>47028</v>
      </c>
      <c r="CE6" s="4">
        <f>IF(BR6=1,((AJ6+(IF(R6="IN-07",'Assumptions &amp; Inputs'!$D$65,AG6))*AM6)*AS6)+AX6+(((AJ6+(IF(R6="IN-07",'Assumptions &amp; Inputs'!$D$65,AG6))*AM6)*AS6)*AZ6)+IF(BD6="Yes",(((AJ6+(IF(R6="IN-07",'Assumptions &amp; Inputs'!$D$65,AG6))*AM6)*AS6)+AX6)*VLOOKUP("IN-34",'Assumptions &amp; Inputs'!$A$31:$F$69,4,FALSE),0),0)</f>
        <v>66431</v>
      </c>
      <c r="CF6" s="4">
        <f>IF(BR6=1,((AK6+(IF(R6="IN-07",'Assumptions &amp; Inputs'!$E$65,AH6))*AN6)*AS6)+AY6+(((AK6+(IF(R6="IN-07",'Assumptions &amp; Inputs'!$E$65,AH6))*AN6)*AS6)*AZ6)+IF(BD6="Yes",(((AK6+(IF(R6="IN-07",'Assumptions &amp; Inputs'!$E$65,AH6))*AN6)*AS6)+AY6)*VLOOKUP("IN-34",'Assumptions &amp; Inputs'!$A$31:$F$69,5,FALSE),0),0)</f>
        <v>126696</v>
      </c>
      <c r="CG6" s="4">
        <f>IF(BS6=1,((AI6+(IF(R6="IN-07",0,AF6))*AL6)*AS6)+AW6+(((AI6+(IF(R6="IN-07",0,AF6))*AL6)*AS6)*AZ6)+IF(BD6="Yes",(((AI6+(IF(R6="IN-07",0,AF6))*AL6)*AS6)+AW6)*VLOOKUP("IN-34",'Assumptions &amp; Inputs'!$A$31:$F$69,3,FALSE),0),0)</f>
        <v>47028</v>
      </c>
      <c r="CH6" s="4">
        <f>IF(BS6=1,((AJ6+(IF(R6="IN-07",0,AG6))*AM6)*AS6)+AX6+(((AJ6+(IF(R6="IN-07",0,AG6))*AM6)*AS6)*AZ6)+IF(BD6="Yes",(((AJ6+(IF(R6="IN-07",0,AG6))*AM6)*AS6)+AX6)*VLOOKUP("IN-34",'Assumptions &amp; Inputs'!$A$31:$F$69,4,FALSE),0),0)</f>
        <v>66431</v>
      </c>
      <c r="CI6" s="4">
        <f>IF(BS6=1,((AK6+(IF(R6="IN-07",0,AH6))*AN6)*AS6)+AY6+(((AK6+(IF(R6="IN-07",0,AH6))*AN6)*AS6)*AZ6)+IF(BD6="Yes",(((AK6+(IF(R6="IN-07",0,AH6))*AN6)*AS6)+AY6)*VLOOKUP("IN-34",'Assumptions &amp; Inputs'!$A$31:$F$69,5,FALSE),0),0)</f>
        <v>126696</v>
      </c>
      <c r="CJ6" s="4">
        <f>IF(BT6=1,((AI6+(IF(R6="IN-07",0,AF6))*AL6)*AS6)+AW6+(((AI6+(IF(R6="IN-07",0,AF6))*AL6)*AS6)*AZ6)+IF(BD6="Yes",(((AI6+(IF(R6="IN-07",0,AF6))*AL6)*AS6)+AW6)*VLOOKUP("IN-34",'Assumptions &amp; Inputs'!$A$31:$F$69,3,FALSE),0),0)</f>
        <v>47028</v>
      </c>
      <c r="CK6" s="4">
        <f>IF(BT6=1,((AJ6+(IF(R6="IN-07",0,AG6))*AM6)*AS6)+AX6+(((AJ6+(IF(R6="IN-07",0,AG6))*AM6)*AS6)*AZ6)+IF(BD6="Yes",(((AJ6+(IF(R6="IN-07",0,AG6))*AM6)*AS6)+AX6)*VLOOKUP("IN-34",'Assumptions &amp; Inputs'!$A$31:$F$69,4,FALSE),0),0)</f>
        <v>66431</v>
      </c>
      <c r="CL6" s="4">
        <f>IF(BT6=1,((AK6+(IF(R6="IN-07",0,AH6))*AN6)*AS6)+AY6+(((AK6+(IF(R6="IN-07",0,AH6))*AN6)*AS6)*AZ6)+IF(BD6="Yes",(((AK6+(IF(R6="IN-07",0,AH6))*AN6)*AS6)+AY6)*VLOOKUP("IN-34",'Assumptions &amp; Inputs'!$A$31:$F$69,5,FALSE),0),0)</f>
        <v>126696</v>
      </c>
    </row>
    <row r="7" spans="1:90" ht="43.5" x14ac:dyDescent="0.35">
      <c r="A7" s="50" t="s">
        <v>562</v>
      </c>
      <c r="B7" s="50" t="s">
        <v>169</v>
      </c>
      <c r="C7" s="50" t="s">
        <v>47</v>
      </c>
      <c r="D7" s="50" t="s">
        <v>52</v>
      </c>
      <c r="E7" s="50" t="s">
        <v>563</v>
      </c>
      <c r="F7" s="50" t="s">
        <v>564</v>
      </c>
      <c r="G7" s="50" t="s">
        <v>565</v>
      </c>
      <c r="H7" s="50" t="s">
        <v>566</v>
      </c>
      <c r="I7" s="50" t="s">
        <v>158</v>
      </c>
      <c r="J7" s="50" t="s">
        <v>530</v>
      </c>
      <c r="K7" s="50" t="s">
        <v>157</v>
      </c>
      <c r="L7" s="50" t="s">
        <v>158</v>
      </c>
      <c r="M7" s="50" t="s">
        <v>532</v>
      </c>
      <c r="N7" s="50" t="s">
        <v>156</v>
      </c>
      <c r="O7" s="50" t="s">
        <v>533</v>
      </c>
      <c r="P7" s="50" t="s">
        <v>556</v>
      </c>
      <c r="Q7" s="50" t="s">
        <v>567</v>
      </c>
      <c r="R7" s="50" t="s">
        <v>346</v>
      </c>
      <c r="S7" s="50" t="s">
        <v>568</v>
      </c>
      <c r="T7" s="50" t="s">
        <v>537</v>
      </c>
      <c r="U7" s="50" t="s">
        <v>569</v>
      </c>
      <c r="V7" s="50" t="s">
        <v>570</v>
      </c>
      <c r="W7" s="50" t="s">
        <v>540</v>
      </c>
      <c r="X7" s="50" t="s">
        <v>571</v>
      </c>
      <c r="Y7" s="50" t="s">
        <v>572</v>
      </c>
      <c r="Z7" s="50" t="s">
        <v>543</v>
      </c>
      <c r="AA7" s="50" t="s">
        <v>544</v>
      </c>
      <c r="AB7" s="50" t="s">
        <v>545</v>
      </c>
      <c r="AC7" s="50" t="s">
        <v>573</v>
      </c>
      <c r="AD7" s="50" t="s">
        <v>574</v>
      </c>
      <c r="AE7" s="16">
        <f>IF(ISNUMBER(SEARCH('Scenario Definitions'!$C$5,N7)),1,0)</f>
        <v>1</v>
      </c>
      <c r="AF7" s="16">
        <f>IFERROR(VLOOKUP(R7,'Assumptions &amp; Inputs'!$A$31:$F$69,3,FALSE),0)</f>
        <v>9</v>
      </c>
      <c r="AG7" s="16">
        <f>IFERROR(VLOOKUP(R7,'Assumptions &amp; Inputs'!$A$31:$F$69,4,FALSE),0)</f>
        <v>12</v>
      </c>
      <c r="AH7" s="17">
        <f>IFERROR(VLOOKUP(R7,'Assumptions &amp; Inputs'!$A$31:$F$69,5,FALSE),0)</f>
        <v>18</v>
      </c>
      <c r="AI7" s="11">
        <v>0</v>
      </c>
      <c r="AJ7" s="11">
        <v>0</v>
      </c>
      <c r="AK7" s="11">
        <v>0</v>
      </c>
      <c r="AL7" s="11">
        <v>7.5</v>
      </c>
      <c r="AM7" s="11">
        <v>10</v>
      </c>
      <c r="AN7" s="11">
        <v>15</v>
      </c>
      <c r="AO7" s="36">
        <f t="shared" si="0"/>
        <v>67.5</v>
      </c>
      <c r="AP7" s="16">
        <f t="shared" si="1"/>
        <v>120</v>
      </c>
      <c r="AQ7" s="17">
        <f t="shared" si="2"/>
        <v>270</v>
      </c>
      <c r="AR7" s="58" t="s">
        <v>404</v>
      </c>
      <c r="AS7" s="32">
        <f>IFERROR(VLOOKUP(AR7,'Assumptions &amp; Inputs'!$A$73:$I$100,9,FALSE),0)</f>
        <v>120</v>
      </c>
      <c r="AT7" s="24">
        <f t="shared" si="3"/>
        <v>8100</v>
      </c>
      <c r="AU7" s="24">
        <f t="shared" si="4"/>
        <v>14400</v>
      </c>
      <c r="AV7" s="25">
        <f t="shared" si="5"/>
        <v>32400</v>
      </c>
      <c r="AW7" s="57">
        <v>0</v>
      </c>
      <c r="AX7" s="57">
        <v>0</v>
      </c>
      <c r="AY7" s="57">
        <v>0</v>
      </c>
      <c r="AZ7" s="32">
        <f>IFERROR(VLOOKUP(C7,'Assumptions &amp; Inputs'!$A$104:$B$107,2,FALSE),0)</f>
        <v>0.25</v>
      </c>
      <c r="BA7" s="24">
        <f t="shared" si="6"/>
        <v>2025</v>
      </c>
      <c r="BB7" s="24">
        <f t="shared" si="7"/>
        <v>3600</v>
      </c>
      <c r="BC7" s="25">
        <f t="shared" si="8"/>
        <v>8100</v>
      </c>
      <c r="BD7" s="57" t="s">
        <v>209</v>
      </c>
      <c r="BE7" s="32">
        <f>IF(BD7="Yes",(AT7+AW7)*VLOOKUP("IN-34",'Assumptions &amp; Inputs'!$A$31:$F$69,3,FALSE),0)</f>
        <v>405</v>
      </c>
      <c r="BF7" s="24">
        <f>IF(BD7="Yes",(AU7+AX7)*VLOOKUP("IN-34",'Assumptions &amp; Inputs'!$A$31:$F$69,4,FALSE),0)</f>
        <v>1080</v>
      </c>
      <c r="BG7" s="24">
        <f>IF(BD7="Yes",(AV7+AY7)*VLOOKUP("IN-34",'Assumptions &amp; Inputs'!$A$31:$F$69,5,FALSE),0)</f>
        <v>4860</v>
      </c>
      <c r="BH7" s="24">
        <f t="shared" si="9"/>
        <v>10530</v>
      </c>
      <c r="BI7" s="24">
        <f t="shared" si="10"/>
        <v>19080</v>
      </c>
      <c r="BJ7" s="25">
        <f t="shared" si="11"/>
        <v>45360</v>
      </c>
      <c r="BK7" s="58" t="s">
        <v>548</v>
      </c>
      <c r="BL7" s="58" t="s">
        <v>549</v>
      </c>
      <c r="BM7" s="58" t="s">
        <v>544</v>
      </c>
      <c r="BN7" s="58" t="s">
        <v>550</v>
      </c>
      <c r="BO7" s="5">
        <f t="shared" si="12"/>
        <v>1</v>
      </c>
      <c r="BP7" s="5">
        <f t="shared" si="13"/>
        <v>1</v>
      </c>
      <c r="BQ7" s="5">
        <f t="shared" si="14"/>
        <v>1</v>
      </c>
      <c r="BR7" s="5">
        <f t="shared" si="15"/>
        <v>1</v>
      </c>
      <c r="BS7" s="5">
        <f t="shared" si="16"/>
        <v>1</v>
      </c>
      <c r="BT7" s="5">
        <f t="shared" si="17"/>
        <v>1</v>
      </c>
      <c r="BU7" s="4">
        <f>IF(BO7=1,((AI7+(IF(R7="IN-07",'Assumptions &amp; Inputs'!$C$66,AF7))*AL7)*AS7)+AW7+(((AI7+(IF(R7="IN-07",'Assumptions &amp; Inputs'!$C$66,AF7))*AL7)*AS7)*AZ7)+IF(BD7="Yes",(((AI7+(IF(R7="IN-07",'Assumptions &amp; Inputs'!$C$66,AF7))*AL7)*AS7)+AW7)*VLOOKUP("IN-34",'Assumptions &amp; Inputs'!$A$31:$F$69,3,FALSE),0),0)</f>
        <v>10530</v>
      </c>
      <c r="BV7" s="4">
        <f>IF(BO7=1,((AJ7+(IF(R7="IN-07",'Assumptions &amp; Inputs'!$D$66,AG7))*AM7)*AS7)+AX7+(((AJ7+(IF(R7="IN-07",'Assumptions &amp; Inputs'!$D$66,AG7))*AM7)*AS7)*AZ7)+IF(BD7="Yes",(((AJ7+(IF(R7="IN-07",'Assumptions &amp; Inputs'!$D$66,AG7))*AM7)*AS7)+AX7)*VLOOKUP("IN-34",'Assumptions &amp; Inputs'!$A$31:$F$69,4,FALSE),0),0)</f>
        <v>19080</v>
      </c>
      <c r="BW7" s="4">
        <f>IF(BO7=1,((AK7+(IF(R7="IN-07",'Assumptions &amp; Inputs'!$E$66,AH7))*AN7)*AS7)+AY7+(((AK7+(IF(R7="IN-07",'Assumptions &amp; Inputs'!$E$66,AH7))*AN7)*AS7)*AZ7)+IF(BD7="Yes",(((AK7+(IF(R7="IN-07",'Assumptions &amp; Inputs'!$E$66,AH7))*AN7)*AS7)+AY7)*VLOOKUP("IN-34",'Assumptions &amp; Inputs'!$A$31:$F$69,5,FALSE),0),0)</f>
        <v>45360</v>
      </c>
      <c r="BX7" s="4">
        <f>IF(BP7=1,((AI7+(IF(R7="IN-07",'Assumptions &amp; Inputs'!$C$66,AF7))*AL7)*AS7)+AW7+(((AI7+(IF(R7="IN-07",'Assumptions &amp; Inputs'!$C$66,AF7))*AL7)*AS7)*AZ7)+IF(BD7="Yes",(((AI7+(IF(R7="IN-07",'Assumptions &amp; Inputs'!$C$66,AF7))*AL7)*AS7)+AW7)*VLOOKUP("IN-34",'Assumptions &amp; Inputs'!$A$31:$F$69,3,FALSE),0),0)</f>
        <v>10530</v>
      </c>
      <c r="BY7" s="4">
        <f>IF(BP7=1,((AJ7+(IF(R7="IN-07",'Assumptions &amp; Inputs'!$D$66,AG7))*AM7)*AS7)+AX7+(((AJ7+(IF(R7="IN-07",'Assumptions &amp; Inputs'!$D$66,AG7))*AM7)*AS7)*AZ7)+IF(BD7="Yes",(((AJ7+(IF(R7="IN-07",'Assumptions &amp; Inputs'!$D$66,AG7))*AM7)*AS7)+AX7)*VLOOKUP("IN-34",'Assumptions &amp; Inputs'!$A$31:$F$69,4,FALSE),0),0)</f>
        <v>19080</v>
      </c>
      <c r="BZ7" s="4">
        <f>IF(BP7=1,((AK7+(IF(R7="IN-07",'Assumptions &amp; Inputs'!$E$66,AH7))*AN7)*AS7)+AY7+(((AK7+(IF(R7="IN-07",'Assumptions &amp; Inputs'!$E$66,AH7))*AN7)*AS7)*AZ7)+IF(BD7="Yes",(((AK7+(IF(R7="IN-07",'Assumptions &amp; Inputs'!$E$66,AH7))*AN7)*AS7)+AY7)*VLOOKUP("IN-34",'Assumptions &amp; Inputs'!$A$31:$F$69,5,FALSE),0),0)</f>
        <v>45360</v>
      </c>
      <c r="CA7" s="4">
        <f>IF(BQ7=1,((AI7+(IF(R7="IN-07",'Assumptions &amp; Inputs'!$C$65,AF7))*AL7)*AS7)+AW7+(((AI7+(IF(R7="IN-07",'Assumptions &amp; Inputs'!$C$65,AF7))*AL7)*AS7)*AZ7)+IF(BD7="Yes",(((AI7+(IF(R7="IN-07",'Assumptions &amp; Inputs'!$C$65,AF7))*AL7)*AS7)+AW7)*VLOOKUP("IN-34",'Assumptions &amp; Inputs'!$A$31:$F$69,3,FALSE),0),0)</f>
        <v>10530</v>
      </c>
      <c r="CB7" s="4">
        <f>IF(BQ7=1,((AJ7+(IF(R7="IN-07",'Assumptions &amp; Inputs'!$D$65,AG7))*AM7)*AS7)+AX7+(((AJ7+(IF(R7="IN-07",'Assumptions &amp; Inputs'!$D$65,AG7))*AM7)*AS7)*AZ7)+IF(BD7="Yes",(((AJ7+(IF(R7="IN-07",'Assumptions &amp; Inputs'!$D$65,AG7))*AM7)*AS7)+AX7)*VLOOKUP("IN-34",'Assumptions &amp; Inputs'!$A$31:$F$69,4,FALSE),0),0)</f>
        <v>19080</v>
      </c>
      <c r="CC7" s="4">
        <f>IF(BQ7=1,((AK7+(IF(R7="IN-07",'Assumptions &amp; Inputs'!$E$65,AH7))*AN7)*AS7)+AY7+(((AK7+(IF(R7="IN-07",'Assumptions &amp; Inputs'!$E$65,AH7))*AN7)*AS7)*AZ7)+IF(BD7="Yes",(((AK7+(IF(R7="IN-07",'Assumptions &amp; Inputs'!$E$65,AH7))*AN7)*AS7)+AY7)*VLOOKUP("IN-34",'Assumptions &amp; Inputs'!$A$31:$F$69,5,FALSE),0),0)</f>
        <v>45360</v>
      </c>
      <c r="CD7" s="4">
        <f>IF(BR7=1,((AI7+(IF(R7="IN-07",'Assumptions &amp; Inputs'!$C$65,AF7))*AL7)*AS7)+AW7+(((AI7+(IF(R7="IN-07",'Assumptions &amp; Inputs'!$C$65,AF7))*AL7)*AS7)*AZ7)+IF(BD7="Yes",(((AI7+(IF(R7="IN-07",'Assumptions &amp; Inputs'!$C$65,AF7))*AL7)*AS7)+AW7)*VLOOKUP("IN-34",'Assumptions &amp; Inputs'!$A$31:$F$69,3,FALSE),0),0)</f>
        <v>10530</v>
      </c>
      <c r="CE7" s="4">
        <f>IF(BR7=1,((AJ7+(IF(R7="IN-07",'Assumptions &amp; Inputs'!$D$65,AG7))*AM7)*AS7)+AX7+(((AJ7+(IF(R7="IN-07",'Assumptions &amp; Inputs'!$D$65,AG7))*AM7)*AS7)*AZ7)+IF(BD7="Yes",(((AJ7+(IF(R7="IN-07",'Assumptions &amp; Inputs'!$D$65,AG7))*AM7)*AS7)+AX7)*VLOOKUP("IN-34",'Assumptions &amp; Inputs'!$A$31:$F$69,4,FALSE),0),0)</f>
        <v>19080</v>
      </c>
      <c r="CF7" s="4">
        <f>IF(BR7=1,((AK7+(IF(R7="IN-07",'Assumptions &amp; Inputs'!$E$65,AH7))*AN7)*AS7)+AY7+(((AK7+(IF(R7="IN-07",'Assumptions &amp; Inputs'!$E$65,AH7))*AN7)*AS7)*AZ7)+IF(BD7="Yes",(((AK7+(IF(R7="IN-07",'Assumptions &amp; Inputs'!$E$65,AH7))*AN7)*AS7)+AY7)*VLOOKUP("IN-34",'Assumptions &amp; Inputs'!$A$31:$F$69,5,FALSE),0),0)</f>
        <v>45360</v>
      </c>
      <c r="CG7" s="4">
        <f>IF(BS7=1,((AI7+(IF(R7="IN-07",0,AF7))*AL7)*AS7)+AW7+(((AI7+(IF(R7="IN-07",0,AF7))*AL7)*AS7)*AZ7)+IF(BD7="Yes",(((AI7+(IF(R7="IN-07",0,AF7))*AL7)*AS7)+AW7)*VLOOKUP("IN-34",'Assumptions &amp; Inputs'!$A$31:$F$69,3,FALSE),0),0)</f>
        <v>10530</v>
      </c>
      <c r="CH7" s="4">
        <f>IF(BS7=1,((AJ7+(IF(R7="IN-07",0,AG7))*AM7)*AS7)+AX7+(((AJ7+(IF(R7="IN-07",0,AG7))*AM7)*AS7)*AZ7)+IF(BD7="Yes",(((AJ7+(IF(R7="IN-07",0,AG7))*AM7)*AS7)+AX7)*VLOOKUP("IN-34",'Assumptions &amp; Inputs'!$A$31:$F$69,4,FALSE),0),0)</f>
        <v>19080</v>
      </c>
      <c r="CI7" s="4">
        <f>IF(BS7=1,((AK7+(IF(R7="IN-07",0,AH7))*AN7)*AS7)+AY7+(((AK7+(IF(R7="IN-07",0,AH7))*AN7)*AS7)*AZ7)+IF(BD7="Yes",(((AK7+(IF(R7="IN-07",0,AH7))*AN7)*AS7)+AY7)*VLOOKUP("IN-34",'Assumptions &amp; Inputs'!$A$31:$F$69,5,FALSE),0),0)</f>
        <v>45360</v>
      </c>
      <c r="CJ7" s="4">
        <f>IF(BT7=1,((AI7+(IF(R7="IN-07",0,AF7))*AL7)*AS7)+AW7+(((AI7+(IF(R7="IN-07",0,AF7))*AL7)*AS7)*AZ7)+IF(BD7="Yes",(((AI7+(IF(R7="IN-07",0,AF7))*AL7)*AS7)+AW7)*VLOOKUP("IN-34",'Assumptions &amp; Inputs'!$A$31:$F$69,3,FALSE),0),0)</f>
        <v>10530</v>
      </c>
      <c r="CK7" s="4">
        <f>IF(BT7=1,((AJ7+(IF(R7="IN-07",0,AG7))*AM7)*AS7)+AX7+(((AJ7+(IF(R7="IN-07",0,AG7))*AM7)*AS7)*AZ7)+IF(BD7="Yes",(((AJ7+(IF(R7="IN-07",0,AG7))*AM7)*AS7)+AX7)*VLOOKUP("IN-34",'Assumptions &amp; Inputs'!$A$31:$F$69,4,FALSE),0),0)</f>
        <v>19080</v>
      </c>
      <c r="CL7" s="4">
        <f>IF(BT7=1,((AK7+(IF(R7="IN-07",0,AH7))*AN7)*AS7)+AY7+(((AK7+(IF(R7="IN-07",0,AH7))*AN7)*AS7)*AZ7)+IF(BD7="Yes",(((AK7+(IF(R7="IN-07",0,AH7))*AN7)*AS7)+AY7)*VLOOKUP("IN-34",'Assumptions &amp; Inputs'!$A$31:$F$69,5,FALSE),0),0)</f>
        <v>45360</v>
      </c>
    </row>
    <row r="8" spans="1:90" ht="43.5" x14ac:dyDescent="0.35">
      <c r="A8" s="50" t="s">
        <v>575</v>
      </c>
      <c r="B8" s="50" t="s">
        <v>170</v>
      </c>
      <c r="C8" s="50" t="s">
        <v>47</v>
      </c>
      <c r="D8" s="50" t="s">
        <v>53</v>
      </c>
      <c r="E8" s="50" t="s">
        <v>576</v>
      </c>
      <c r="F8" s="50" t="s">
        <v>577</v>
      </c>
      <c r="G8" s="50" t="s">
        <v>578</v>
      </c>
      <c r="H8" s="50" t="s">
        <v>579</v>
      </c>
      <c r="I8" s="50" t="s">
        <v>158</v>
      </c>
      <c r="J8" s="50" t="s">
        <v>580</v>
      </c>
      <c r="K8" s="50" t="s">
        <v>531</v>
      </c>
      <c r="L8" s="50" t="s">
        <v>158</v>
      </c>
      <c r="M8" s="50" t="s">
        <v>532</v>
      </c>
      <c r="N8" s="50" t="s">
        <v>156</v>
      </c>
      <c r="O8" s="50" t="s">
        <v>533</v>
      </c>
      <c r="P8" s="50" t="s">
        <v>534</v>
      </c>
      <c r="Q8" s="50" t="s">
        <v>535</v>
      </c>
      <c r="R8" s="50" t="s">
        <v>299</v>
      </c>
      <c r="S8" s="50" t="s">
        <v>536</v>
      </c>
      <c r="T8" s="50" t="s">
        <v>581</v>
      </c>
      <c r="U8" s="50" t="s">
        <v>582</v>
      </c>
      <c r="V8" s="50" t="s">
        <v>539</v>
      </c>
      <c r="W8" s="50" t="s">
        <v>540</v>
      </c>
      <c r="X8" s="50" t="s">
        <v>571</v>
      </c>
      <c r="Y8" s="50" t="s">
        <v>171</v>
      </c>
      <c r="Z8" s="50" t="s">
        <v>543</v>
      </c>
      <c r="AA8" s="50" t="s">
        <v>583</v>
      </c>
      <c r="AB8" s="50" t="s">
        <v>545</v>
      </c>
      <c r="AC8" s="50" t="s">
        <v>584</v>
      </c>
      <c r="AD8" s="50" t="s">
        <v>585</v>
      </c>
      <c r="AE8" s="16">
        <f>IF(ISNUMBER(SEARCH('Scenario Definitions'!$C$5,N8)),1,0)</f>
        <v>1</v>
      </c>
      <c r="AF8" s="16">
        <f>IFERROR(VLOOKUP(R8,'Assumptions &amp; Inputs'!$A$31:$F$69,3,FALSE),0)</f>
        <v>1</v>
      </c>
      <c r="AG8" s="16">
        <f>IFERROR(VLOOKUP(R8,'Assumptions &amp; Inputs'!$A$31:$F$69,4,FALSE),0)</f>
        <v>1</v>
      </c>
      <c r="AH8" s="17">
        <f>IFERROR(VLOOKUP(R8,'Assumptions &amp; Inputs'!$A$31:$F$69,5,FALSE),0)</f>
        <v>1</v>
      </c>
      <c r="AI8" s="11">
        <v>48</v>
      </c>
      <c r="AJ8" s="11">
        <v>64</v>
      </c>
      <c r="AK8" s="11">
        <v>96</v>
      </c>
      <c r="AL8" s="11">
        <v>0</v>
      </c>
      <c r="AM8" s="11">
        <v>0</v>
      </c>
      <c r="AN8" s="11">
        <v>0</v>
      </c>
      <c r="AO8" s="36">
        <f t="shared" si="0"/>
        <v>48</v>
      </c>
      <c r="AP8" s="16">
        <f t="shared" si="1"/>
        <v>64</v>
      </c>
      <c r="AQ8" s="17">
        <f t="shared" si="2"/>
        <v>96</v>
      </c>
      <c r="AR8" s="58" t="s">
        <v>410</v>
      </c>
      <c r="AS8" s="32">
        <f>IFERROR(VLOOKUP(AR8,'Assumptions &amp; Inputs'!$A$73:$I$100,9,FALSE),0)</f>
        <v>95</v>
      </c>
      <c r="AT8" s="24">
        <f t="shared" si="3"/>
        <v>4560</v>
      </c>
      <c r="AU8" s="24">
        <f t="shared" si="4"/>
        <v>6080</v>
      </c>
      <c r="AV8" s="25">
        <f t="shared" si="5"/>
        <v>9120</v>
      </c>
      <c r="AW8" s="57">
        <v>0</v>
      </c>
      <c r="AX8" s="57">
        <v>0</v>
      </c>
      <c r="AY8" s="57">
        <v>0</v>
      </c>
      <c r="AZ8" s="32">
        <f>IFERROR(VLOOKUP(C8,'Assumptions &amp; Inputs'!$A$104:$B$107,2,FALSE),0)</f>
        <v>0.25</v>
      </c>
      <c r="BA8" s="24">
        <f t="shared" si="6"/>
        <v>1140</v>
      </c>
      <c r="BB8" s="24">
        <f t="shared" si="7"/>
        <v>1520</v>
      </c>
      <c r="BC8" s="25">
        <f t="shared" si="8"/>
        <v>2280</v>
      </c>
      <c r="BD8" s="57" t="s">
        <v>209</v>
      </c>
      <c r="BE8" s="32">
        <f>IF(BD8="Yes",(AT8+AW8)*VLOOKUP("IN-34",'Assumptions &amp; Inputs'!$A$31:$F$69,3,FALSE),0)</f>
        <v>228</v>
      </c>
      <c r="BF8" s="24">
        <f>IF(BD8="Yes",(AU8+AX8)*VLOOKUP("IN-34",'Assumptions &amp; Inputs'!$A$31:$F$69,4,FALSE),0)</f>
        <v>456</v>
      </c>
      <c r="BG8" s="24">
        <f>IF(BD8="Yes",(AV8+AY8)*VLOOKUP("IN-34",'Assumptions &amp; Inputs'!$A$31:$F$69,5,FALSE),0)</f>
        <v>1368</v>
      </c>
      <c r="BH8" s="24">
        <f t="shared" si="9"/>
        <v>5928</v>
      </c>
      <c r="BI8" s="24">
        <f t="shared" si="10"/>
        <v>8056</v>
      </c>
      <c r="BJ8" s="25">
        <f t="shared" si="11"/>
        <v>12768</v>
      </c>
      <c r="BK8" s="58" t="s">
        <v>548</v>
      </c>
      <c r="BL8" s="58" t="s">
        <v>549</v>
      </c>
      <c r="BM8" s="58" t="s">
        <v>583</v>
      </c>
      <c r="BN8" s="58" t="s">
        <v>550</v>
      </c>
      <c r="BO8" s="5">
        <f t="shared" si="12"/>
        <v>1</v>
      </c>
      <c r="BP8" s="5">
        <f t="shared" si="13"/>
        <v>1</v>
      </c>
      <c r="BQ8" s="5">
        <f t="shared" si="14"/>
        <v>1</v>
      </c>
      <c r="BR8" s="5">
        <f t="shared" si="15"/>
        <v>1</v>
      </c>
      <c r="BS8" s="5">
        <f t="shared" si="16"/>
        <v>1</v>
      </c>
      <c r="BT8" s="5">
        <f t="shared" si="17"/>
        <v>1</v>
      </c>
      <c r="BU8" s="4">
        <f>IF(BO8=1,((AI8+(IF(R8="IN-07",'Assumptions &amp; Inputs'!$C$66,AF8))*AL8)*AS8)+AW8+(((AI8+(IF(R8="IN-07",'Assumptions &amp; Inputs'!$C$66,AF8))*AL8)*AS8)*AZ8)+IF(BD8="Yes",(((AI8+(IF(R8="IN-07",'Assumptions &amp; Inputs'!$C$66,AF8))*AL8)*AS8)+AW8)*VLOOKUP("IN-34",'Assumptions &amp; Inputs'!$A$31:$F$69,3,FALSE),0),0)</f>
        <v>5928</v>
      </c>
      <c r="BV8" s="4">
        <f>IF(BO8=1,((AJ8+(IF(R8="IN-07",'Assumptions &amp; Inputs'!$D$66,AG8))*AM8)*AS8)+AX8+(((AJ8+(IF(R8="IN-07",'Assumptions &amp; Inputs'!$D$66,AG8))*AM8)*AS8)*AZ8)+IF(BD8="Yes",(((AJ8+(IF(R8="IN-07",'Assumptions &amp; Inputs'!$D$66,AG8))*AM8)*AS8)+AX8)*VLOOKUP("IN-34",'Assumptions &amp; Inputs'!$A$31:$F$69,4,FALSE),0),0)</f>
        <v>8056</v>
      </c>
      <c r="BW8" s="4">
        <f>IF(BO8=1,((AK8+(IF(R8="IN-07",'Assumptions &amp; Inputs'!$E$66,AH8))*AN8)*AS8)+AY8+(((AK8+(IF(R8="IN-07",'Assumptions &amp; Inputs'!$E$66,AH8))*AN8)*AS8)*AZ8)+IF(BD8="Yes",(((AK8+(IF(R8="IN-07",'Assumptions &amp; Inputs'!$E$66,AH8))*AN8)*AS8)+AY8)*VLOOKUP("IN-34",'Assumptions &amp; Inputs'!$A$31:$F$69,5,FALSE),0),0)</f>
        <v>12768</v>
      </c>
      <c r="BX8" s="4">
        <f>IF(BP8=1,((AI8+(IF(R8="IN-07",'Assumptions &amp; Inputs'!$C$66,AF8))*AL8)*AS8)+AW8+(((AI8+(IF(R8="IN-07",'Assumptions &amp; Inputs'!$C$66,AF8))*AL8)*AS8)*AZ8)+IF(BD8="Yes",(((AI8+(IF(R8="IN-07",'Assumptions &amp; Inputs'!$C$66,AF8))*AL8)*AS8)+AW8)*VLOOKUP("IN-34",'Assumptions &amp; Inputs'!$A$31:$F$69,3,FALSE),0),0)</f>
        <v>5928</v>
      </c>
      <c r="BY8" s="4">
        <f>IF(BP8=1,((AJ8+(IF(R8="IN-07",'Assumptions &amp; Inputs'!$D$66,AG8))*AM8)*AS8)+AX8+(((AJ8+(IF(R8="IN-07",'Assumptions &amp; Inputs'!$D$66,AG8))*AM8)*AS8)*AZ8)+IF(BD8="Yes",(((AJ8+(IF(R8="IN-07",'Assumptions &amp; Inputs'!$D$66,AG8))*AM8)*AS8)+AX8)*VLOOKUP("IN-34",'Assumptions &amp; Inputs'!$A$31:$F$69,4,FALSE),0),0)</f>
        <v>8056</v>
      </c>
      <c r="BZ8" s="4">
        <f>IF(BP8=1,((AK8+(IF(R8="IN-07",'Assumptions &amp; Inputs'!$E$66,AH8))*AN8)*AS8)+AY8+(((AK8+(IF(R8="IN-07",'Assumptions &amp; Inputs'!$E$66,AH8))*AN8)*AS8)*AZ8)+IF(BD8="Yes",(((AK8+(IF(R8="IN-07",'Assumptions &amp; Inputs'!$E$66,AH8))*AN8)*AS8)+AY8)*VLOOKUP("IN-34",'Assumptions &amp; Inputs'!$A$31:$F$69,5,FALSE),0),0)</f>
        <v>12768</v>
      </c>
      <c r="CA8" s="4">
        <f>IF(BQ8=1,((AI8+(IF(R8="IN-07",'Assumptions &amp; Inputs'!$C$65,AF8))*AL8)*AS8)+AW8+(((AI8+(IF(R8="IN-07",'Assumptions &amp; Inputs'!$C$65,AF8))*AL8)*AS8)*AZ8)+IF(BD8="Yes",(((AI8+(IF(R8="IN-07",'Assumptions &amp; Inputs'!$C$65,AF8))*AL8)*AS8)+AW8)*VLOOKUP("IN-34",'Assumptions &amp; Inputs'!$A$31:$F$69,3,FALSE),0),0)</f>
        <v>5928</v>
      </c>
      <c r="CB8" s="4">
        <f>IF(BQ8=1,((AJ8+(IF(R8="IN-07",'Assumptions &amp; Inputs'!$D$65,AG8))*AM8)*AS8)+AX8+(((AJ8+(IF(R8="IN-07",'Assumptions &amp; Inputs'!$D$65,AG8))*AM8)*AS8)*AZ8)+IF(BD8="Yes",(((AJ8+(IF(R8="IN-07",'Assumptions &amp; Inputs'!$D$65,AG8))*AM8)*AS8)+AX8)*VLOOKUP("IN-34",'Assumptions &amp; Inputs'!$A$31:$F$69,4,FALSE),0),0)</f>
        <v>8056</v>
      </c>
      <c r="CC8" s="4">
        <f>IF(BQ8=1,((AK8+(IF(R8="IN-07",'Assumptions &amp; Inputs'!$E$65,AH8))*AN8)*AS8)+AY8+(((AK8+(IF(R8="IN-07",'Assumptions &amp; Inputs'!$E$65,AH8))*AN8)*AS8)*AZ8)+IF(BD8="Yes",(((AK8+(IF(R8="IN-07",'Assumptions &amp; Inputs'!$E$65,AH8))*AN8)*AS8)+AY8)*VLOOKUP("IN-34",'Assumptions &amp; Inputs'!$A$31:$F$69,5,FALSE),0),0)</f>
        <v>12768</v>
      </c>
      <c r="CD8" s="4">
        <f>IF(BR8=1,((AI8+(IF(R8="IN-07",'Assumptions &amp; Inputs'!$C$65,AF8))*AL8)*AS8)+AW8+(((AI8+(IF(R8="IN-07",'Assumptions &amp; Inputs'!$C$65,AF8))*AL8)*AS8)*AZ8)+IF(BD8="Yes",(((AI8+(IF(R8="IN-07",'Assumptions &amp; Inputs'!$C$65,AF8))*AL8)*AS8)+AW8)*VLOOKUP("IN-34",'Assumptions &amp; Inputs'!$A$31:$F$69,3,FALSE),0),0)</f>
        <v>5928</v>
      </c>
      <c r="CE8" s="4">
        <f>IF(BR8=1,((AJ8+(IF(R8="IN-07",'Assumptions &amp; Inputs'!$D$65,AG8))*AM8)*AS8)+AX8+(((AJ8+(IF(R8="IN-07",'Assumptions &amp; Inputs'!$D$65,AG8))*AM8)*AS8)*AZ8)+IF(BD8="Yes",(((AJ8+(IF(R8="IN-07",'Assumptions &amp; Inputs'!$D$65,AG8))*AM8)*AS8)+AX8)*VLOOKUP("IN-34",'Assumptions &amp; Inputs'!$A$31:$F$69,4,FALSE),0),0)</f>
        <v>8056</v>
      </c>
      <c r="CF8" s="4">
        <f>IF(BR8=1,((AK8+(IF(R8="IN-07",'Assumptions &amp; Inputs'!$E$65,AH8))*AN8)*AS8)+AY8+(((AK8+(IF(R8="IN-07",'Assumptions &amp; Inputs'!$E$65,AH8))*AN8)*AS8)*AZ8)+IF(BD8="Yes",(((AK8+(IF(R8="IN-07",'Assumptions &amp; Inputs'!$E$65,AH8))*AN8)*AS8)+AY8)*VLOOKUP("IN-34",'Assumptions &amp; Inputs'!$A$31:$F$69,5,FALSE),0),0)</f>
        <v>12768</v>
      </c>
      <c r="CG8" s="4">
        <f>IF(BS8=1,((AI8+(IF(R8="IN-07",0,AF8))*AL8)*AS8)+AW8+(((AI8+(IF(R8="IN-07",0,AF8))*AL8)*AS8)*AZ8)+IF(BD8="Yes",(((AI8+(IF(R8="IN-07",0,AF8))*AL8)*AS8)+AW8)*VLOOKUP("IN-34",'Assumptions &amp; Inputs'!$A$31:$F$69,3,FALSE),0),0)</f>
        <v>5928</v>
      </c>
      <c r="CH8" s="4">
        <f>IF(BS8=1,((AJ8+(IF(R8="IN-07",0,AG8))*AM8)*AS8)+AX8+(((AJ8+(IF(R8="IN-07",0,AG8))*AM8)*AS8)*AZ8)+IF(BD8="Yes",(((AJ8+(IF(R8="IN-07",0,AG8))*AM8)*AS8)+AX8)*VLOOKUP("IN-34",'Assumptions &amp; Inputs'!$A$31:$F$69,4,FALSE),0),0)</f>
        <v>8056</v>
      </c>
      <c r="CI8" s="4">
        <f>IF(BS8=1,((AK8+(IF(R8="IN-07",0,AH8))*AN8)*AS8)+AY8+(((AK8+(IF(R8="IN-07",0,AH8))*AN8)*AS8)*AZ8)+IF(BD8="Yes",(((AK8+(IF(R8="IN-07",0,AH8))*AN8)*AS8)+AY8)*VLOOKUP("IN-34",'Assumptions &amp; Inputs'!$A$31:$F$69,5,FALSE),0),0)</f>
        <v>12768</v>
      </c>
      <c r="CJ8" s="4">
        <f>IF(BT8=1,((AI8+(IF(R8="IN-07",0,AF8))*AL8)*AS8)+AW8+(((AI8+(IF(R8="IN-07",0,AF8))*AL8)*AS8)*AZ8)+IF(BD8="Yes",(((AI8+(IF(R8="IN-07",0,AF8))*AL8)*AS8)+AW8)*VLOOKUP("IN-34",'Assumptions &amp; Inputs'!$A$31:$F$69,3,FALSE),0),0)</f>
        <v>5928</v>
      </c>
      <c r="CK8" s="4">
        <f>IF(BT8=1,((AJ8+(IF(R8="IN-07",0,AG8))*AM8)*AS8)+AX8+(((AJ8+(IF(R8="IN-07",0,AG8))*AM8)*AS8)*AZ8)+IF(BD8="Yes",(((AJ8+(IF(R8="IN-07",0,AG8))*AM8)*AS8)+AX8)*VLOOKUP("IN-34",'Assumptions &amp; Inputs'!$A$31:$F$69,4,FALSE),0),0)</f>
        <v>8056</v>
      </c>
      <c r="CL8" s="4">
        <f>IF(BT8=1,((AK8+(IF(R8="IN-07",0,AH8))*AN8)*AS8)+AY8+(((AK8+(IF(R8="IN-07",0,AH8))*AN8)*AS8)*AZ8)+IF(BD8="Yes",(((AK8+(IF(R8="IN-07",0,AH8))*AN8)*AS8)+AY8)*VLOOKUP("IN-34",'Assumptions &amp; Inputs'!$A$31:$F$69,5,FALSE),0),0)</f>
        <v>12768</v>
      </c>
    </row>
    <row r="9" spans="1:90" ht="43.5" x14ac:dyDescent="0.35">
      <c r="A9" s="50" t="s">
        <v>586</v>
      </c>
      <c r="B9" s="50" t="s">
        <v>172</v>
      </c>
      <c r="C9" s="50" t="s">
        <v>47</v>
      </c>
      <c r="D9" s="50" t="s">
        <v>53</v>
      </c>
      <c r="E9" s="50" t="s">
        <v>587</v>
      </c>
      <c r="F9" s="50" t="s">
        <v>588</v>
      </c>
      <c r="G9" s="50" t="s">
        <v>589</v>
      </c>
      <c r="H9" s="50" t="s">
        <v>590</v>
      </c>
      <c r="I9" s="50" t="s">
        <v>158</v>
      </c>
      <c r="J9" s="50" t="s">
        <v>591</v>
      </c>
      <c r="K9" s="50" t="s">
        <v>592</v>
      </c>
      <c r="L9" s="50" t="s">
        <v>158</v>
      </c>
      <c r="M9" s="50" t="s">
        <v>532</v>
      </c>
      <c r="N9" s="50" t="s">
        <v>156</v>
      </c>
      <c r="O9" s="50" t="s">
        <v>533</v>
      </c>
      <c r="P9" s="50" t="s">
        <v>593</v>
      </c>
      <c r="Q9" s="50" t="s">
        <v>594</v>
      </c>
      <c r="R9" s="50" t="s">
        <v>318</v>
      </c>
      <c r="S9" s="50" t="s">
        <v>595</v>
      </c>
      <c r="T9" s="50" t="s">
        <v>596</v>
      </c>
      <c r="U9" s="50" t="s">
        <v>597</v>
      </c>
      <c r="V9" s="50" t="s">
        <v>539</v>
      </c>
      <c r="W9" s="50" t="s">
        <v>598</v>
      </c>
      <c r="X9" s="50" t="s">
        <v>599</v>
      </c>
      <c r="Y9" s="50" t="s">
        <v>600</v>
      </c>
      <c r="Z9" s="50" t="s">
        <v>601</v>
      </c>
      <c r="AA9" s="50" t="s">
        <v>602</v>
      </c>
      <c r="AB9" s="50" t="s">
        <v>36</v>
      </c>
      <c r="AC9" s="50" t="s">
        <v>603</v>
      </c>
      <c r="AD9" s="50" t="s">
        <v>604</v>
      </c>
      <c r="AE9" s="16">
        <f>IF(ISNUMBER(SEARCH('Scenario Definitions'!$C$5,N9)),1,0)</f>
        <v>1</v>
      </c>
      <c r="AF9" s="16">
        <f>IFERROR(VLOOKUP(R9,'Assumptions &amp; Inputs'!$A$31:$F$69,3,FALSE),0)</f>
        <v>3</v>
      </c>
      <c r="AG9" s="16">
        <f>IFERROR(VLOOKUP(R9,'Assumptions &amp; Inputs'!$A$31:$F$69,4,FALSE),0)</f>
        <v>3</v>
      </c>
      <c r="AH9" s="17">
        <f>IFERROR(VLOOKUP(R9,'Assumptions &amp; Inputs'!$A$31:$F$69,5,FALSE),0)</f>
        <v>5</v>
      </c>
      <c r="AI9" s="11">
        <v>0</v>
      </c>
      <c r="AJ9" s="11">
        <v>0</v>
      </c>
      <c r="AK9" s="11">
        <v>0</v>
      </c>
      <c r="AL9" s="11">
        <v>20.2</v>
      </c>
      <c r="AM9" s="11">
        <v>27</v>
      </c>
      <c r="AN9" s="11">
        <v>40.5</v>
      </c>
      <c r="AO9" s="36">
        <f t="shared" si="0"/>
        <v>60.599999999999994</v>
      </c>
      <c r="AP9" s="16">
        <f t="shared" si="1"/>
        <v>81</v>
      </c>
      <c r="AQ9" s="17">
        <f t="shared" si="2"/>
        <v>202.5</v>
      </c>
      <c r="AR9" s="58" t="s">
        <v>412</v>
      </c>
      <c r="AS9" s="32">
        <f>IFERROR(VLOOKUP(AR9,'Assumptions &amp; Inputs'!$A$73:$I$100,9,FALSE),0)</f>
        <v>180</v>
      </c>
      <c r="AT9" s="24">
        <f t="shared" si="3"/>
        <v>10907.999999999998</v>
      </c>
      <c r="AU9" s="24">
        <f t="shared" si="4"/>
        <v>14580</v>
      </c>
      <c r="AV9" s="25">
        <f t="shared" si="5"/>
        <v>36450</v>
      </c>
      <c r="AW9" s="57">
        <v>0</v>
      </c>
      <c r="AX9" s="57">
        <v>0</v>
      </c>
      <c r="AY9" s="57">
        <v>25000</v>
      </c>
      <c r="AZ9" s="32">
        <f>IFERROR(VLOOKUP(C9,'Assumptions &amp; Inputs'!$A$104:$B$107,2,FALSE),0)</f>
        <v>0.25</v>
      </c>
      <c r="BA9" s="24">
        <f t="shared" si="6"/>
        <v>2726.9999999999995</v>
      </c>
      <c r="BB9" s="24">
        <f t="shared" si="7"/>
        <v>3645</v>
      </c>
      <c r="BC9" s="25">
        <f t="shared" si="8"/>
        <v>9112.5</v>
      </c>
      <c r="BD9" s="57" t="s">
        <v>209</v>
      </c>
      <c r="BE9" s="32">
        <f>IF(BD9="Yes",(AT9+AW9)*VLOOKUP("IN-34",'Assumptions &amp; Inputs'!$A$31:$F$69,3,FALSE),0)</f>
        <v>545.4</v>
      </c>
      <c r="BF9" s="24">
        <f>IF(BD9="Yes",(AU9+AX9)*VLOOKUP("IN-34",'Assumptions &amp; Inputs'!$A$31:$F$69,4,FALSE),0)</f>
        <v>1093.5</v>
      </c>
      <c r="BG9" s="24">
        <f>IF(BD9="Yes",(AV9+AY9)*VLOOKUP("IN-34",'Assumptions &amp; Inputs'!$A$31:$F$69,5,FALSE),0)</f>
        <v>9217.5</v>
      </c>
      <c r="BH9" s="24">
        <f t="shared" si="9"/>
        <v>14180.399999999998</v>
      </c>
      <c r="BI9" s="24">
        <f t="shared" si="10"/>
        <v>19318.5</v>
      </c>
      <c r="BJ9" s="25">
        <f t="shared" si="11"/>
        <v>79780</v>
      </c>
      <c r="BK9" s="58" t="s">
        <v>548</v>
      </c>
      <c r="BL9" s="58" t="s">
        <v>549</v>
      </c>
      <c r="BM9" s="58" t="s">
        <v>602</v>
      </c>
      <c r="BN9" s="58" t="s">
        <v>550</v>
      </c>
      <c r="BO9" s="5">
        <f t="shared" si="12"/>
        <v>1</v>
      </c>
      <c r="BP9" s="5">
        <f t="shared" si="13"/>
        <v>1</v>
      </c>
      <c r="BQ9" s="5">
        <f t="shared" si="14"/>
        <v>1</v>
      </c>
      <c r="BR9" s="5">
        <f t="shared" si="15"/>
        <v>1</v>
      </c>
      <c r="BS9" s="5">
        <f t="shared" si="16"/>
        <v>1</v>
      </c>
      <c r="BT9" s="5">
        <f t="shared" si="17"/>
        <v>1</v>
      </c>
      <c r="BU9" s="4">
        <f>IF(BO9=1,((AI9+(IF(R9="IN-07",'Assumptions &amp; Inputs'!$C$66,AF9))*AL9)*AS9)+AW9+(((AI9+(IF(R9="IN-07",'Assumptions &amp; Inputs'!$C$66,AF9))*AL9)*AS9)*AZ9)+IF(BD9="Yes",(((AI9+(IF(R9="IN-07",'Assumptions &amp; Inputs'!$C$66,AF9))*AL9)*AS9)+AW9)*VLOOKUP("IN-34",'Assumptions &amp; Inputs'!$A$31:$F$69,3,FALSE),0),0)</f>
        <v>14180.399999999998</v>
      </c>
      <c r="BV9" s="4">
        <f>IF(BO9=1,((AJ9+(IF(R9="IN-07",'Assumptions &amp; Inputs'!$D$66,AG9))*AM9)*AS9)+AX9+(((AJ9+(IF(R9="IN-07",'Assumptions &amp; Inputs'!$D$66,AG9))*AM9)*AS9)*AZ9)+IF(BD9="Yes",(((AJ9+(IF(R9="IN-07",'Assumptions &amp; Inputs'!$D$66,AG9))*AM9)*AS9)+AX9)*VLOOKUP("IN-34",'Assumptions &amp; Inputs'!$A$31:$F$69,4,FALSE),0),0)</f>
        <v>19318.5</v>
      </c>
      <c r="BW9" s="4">
        <f>IF(BO9=1,((AK9+(IF(R9="IN-07",'Assumptions &amp; Inputs'!$E$66,AH9))*AN9)*AS9)+AY9+(((AK9+(IF(R9="IN-07",'Assumptions &amp; Inputs'!$E$66,AH9))*AN9)*AS9)*AZ9)+IF(BD9="Yes",(((AK9+(IF(R9="IN-07",'Assumptions &amp; Inputs'!$E$66,AH9))*AN9)*AS9)+AY9)*VLOOKUP("IN-34",'Assumptions &amp; Inputs'!$A$31:$F$69,5,FALSE),0),0)</f>
        <v>79780</v>
      </c>
      <c r="BX9" s="4">
        <f>IF(BP9=1,((AI9+(IF(R9="IN-07",'Assumptions &amp; Inputs'!$C$66,AF9))*AL9)*AS9)+AW9+(((AI9+(IF(R9="IN-07",'Assumptions &amp; Inputs'!$C$66,AF9))*AL9)*AS9)*AZ9)+IF(BD9="Yes",(((AI9+(IF(R9="IN-07",'Assumptions &amp; Inputs'!$C$66,AF9))*AL9)*AS9)+AW9)*VLOOKUP("IN-34",'Assumptions &amp; Inputs'!$A$31:$F$69,3,FALSE),0),0)</f>
        <v>14180.399999999998</v>
      </c>
      <c r="BY9" s="4">
        <f>IF(BP9=1,((AJ9+(IF(R9="IN-07",'Assumptions &amp; Inputs'!$D$66,AG9))*AM9)*AS9)+AX9+(((AJ9+(IF(R9="IN-07",'Assumptions &amp; Inputs'!$D$66,AG9))*AM9)*AS9)*AZ9)+IF(BD9="Yes",(((AJ9+(IF(R9="IN-07",'Assumptions &amp; Inputs'!$D$66,AG9))*AM9)*AS9)+AX9)*VLOOKUP("IN-34",'Assumptions &amp; Inputs'!$A$31:$F$69,4,FALSE),0),0)</f>
        <v>19318.5</v>
      </c>
      <c r="BZ9" s="4">
        <f>IF(BP9=1,((AK9+(IF(R9="IN-07",'Assumptions &amp; Inputs'!$E$66,AH9))*AN9)*AS9)+AY9+(((AK9+(IF(R9="IN-07",'Assumptions &amp; Inputs'!$E$66,AH9))*AN9)*AS9)*AZ9)+IF(BD9="Yes",(((AK9+(IF(R9="IN-07",'Assumptions &amp; Inputs'!$E$66,AH9))*AN9)*AS9)+AY9)*VLOOKUP("IN-34",'Assumptions &amp; Inputs'!$A$31:$F$69,5,FALSE),0),0)</f>
        <v>79780</v>
      </c>
      <c r="CA9" s="4">
        <f>IF(BQ9=1,((AI9+(IF(R9="IN-07",'Assumptions &amp; Inputs'!$C$65,AF9))*AL9)*AS9)+AW9+(((AI9+(IF(R9="IN-07",'Assumptions &amp; Inputs'!$C$65,AF9))*AL9)*AS9)*AZ9)+IF(BD9="Yes",(((AI9+(IF(R9="IN-07",'Assumptions &amp; Inputs'!$C$65,AF9))*AL9)*AS9)+AW9)*VLOOKUP("IN-34",'Assumptions &amp; Inputs'!$A$31:$F$69,3,FALSE),0),0)</f>
        <v>14180.399999999998</v>
      </c>
      <c r="CB9" s="4">
        <f>IF(BQ9=1,((AJ9+(IF(R9="IN-07",'Assumptions &amp; Inputs'!$D$65,AG9))*AM9)*AS9)+AX9+(((AJ9+(IF(R9="IN-07",'Assumptions &amp; Inputs'!$D$65,AG9))*AM9)*AS9)*AZ9)+IF(BD9="Yes",(((AJ9+(IF(R9="IN-07",'Assumptions &amp; Inputs'!$D$65,AG9))*AM9)*AS9)+AX9)*VLOOKUP("IN-34",'Assumptions &amp; Inputs'!$A$31:$F$69,4,FALSE),0),0)</f>
        <v>19318.5</v>
      </c>
      <c r="CC9" s="4">
        <f>IF(BQ9=1,((AK9+(IF(R9="IN-07",'Assumptions &amp; Inputs'!$E$65,AH9))*AN9)*AS9)+AY9+(((AK9+(IF(R9="IN-07",'Assumptions &amp; Inputs'!$E$65,AH9))*AN9)*AS9)*AZ9)+IF(BD9="Yes",(((AK9+(IF(R9="IN-07",'Assumptions &amp; Inputs'!$E$65,AH9))*AN9)*AS9)+AY9)*VLOOKUP("IN-34",'Assumptions &amp; Inputs'!$A$31:$F$69,5,FALSE),0),0)</f>
        <v>79780</v>
      </c>
      <c r="CD9" s="4">
        <f>IF(BR9=1,((AI9+(IF(R9="IN-07",'Assumptions &amp; Inputs'!$C$65,AF9))*AL9)*AS9)+AW9+(((AI9+(IF(R9="IN-07",'Assumptions &amp; Inputs'!$C$65,AF9))*AL9)*AS9)*AZ9)+IF(BD9="Yes",(((AI9+(IF(R9="IN-07",'Assumptions &amp; Inputs'!$C$65,AF9))*AL9)*AS9)+AW9)*VLOOKUP("IN-34",'Assumptions &amp; Inputs'!$A$31:$F$69,3,FALSE),0),0)</f>
        <v>14180.399999999998</v>
      </c>
      <c r="CE9" s="4">
        <f>IF(BR9=1,((AJ9+(IF(R9="IN-07",'Assumptions &amp; Inputs'!$D$65,AG9))*AM9)*AS9)+AX9+(((AJ9+(IF(R9="IN-07",'Assumptions &amp; Inputs'!$D$65,AG9))*AM9)*AS9)*AZ9)+IF(BD9="Yes",(((AJ9+(IF(R9="IN-07",'Assumptions &amp; Inputs'!$D$65,AG9))*AM9)*AS9)+AX9)*VLOOKUP("IN-34",'Assumptions &amp; Inputs'!$A$31:$F$69,4,FALSE),0),0)</f>
        <v>19318.5</v>
      </c>
      <c r="CF9" s="4">
        <f>IF(BR9=1,((AK9+(IF(R9="IN-07",'Assumptions &amp; Inputs'!$E$65,AH9))*AN9)*AS9)+AY9+(((AK9+(IF(R9="IN-07",'Assumptions &amp; Inputs'!$E$65,AH9))*AN9)*AS9)*AZ9)+IF(BD9="Yes",(((AK9+(IF(R9="IN-07",'Assumptions &amp; Inputs'!$E$65,AH9))*AN9)*AS9)+AY9)*VLOOKUP("IN-34",'Assumptions &amp; Inputs'!$A$31:$F$69,5,FALSE),0),0)</f>
        <v>79780</v>
      </c>
      <c r="CG9" s="4">
        <f>IF(BS9=1,((AI9+(IF(R9="IN-07",0,AF9))*AL9)*AS9)+AW9+(((AI9+(IF(R9="IN-07",0,AF9))*AL9)*AS9)*AZ9)+IF(BD9="Yes",(((AI9+(IF(R9="IN-07",0,AF9))*AL9)*AS9)+AW9)*VLOOKUP("IN-34",'Assumptions &amp; Inputs'!$A$31:$F$69,3,FALSE),0),0)</f>
        <v>14180.399999999998</v>
      </c>
      <c r="CH9" s="4">
        <f>IF(BS9=1,((AJ9+(IF(R9="IN-07",0,AG9))*AM9)*AS9)+AX9+(((AJ9+(IF(R9="IN-07",0,AG9))*AM9)*AS9)*AZ9)+IF(BD9="Yes",(((AJ9+(IF(R9="IN-07",0,AG9))*AM9)*AS9)+AX9)*VLOOKUP("IN-34",'Assumptions &amp; Inputs'!$A$31:$F$69,4,FALSE),0),0)</f>
        <v>19318.5</v>
      </c>
      <c r="CI9" s="4">
        <f>IF(BS9=1,((AK9+(IF(R9="IN-07",0,AH9))*AN9)*AS9)+AY9+(((AK9+(IF(R9="IN-07",0,AH9))*AN9)*AS9)*AZ9)+IF(BD9="Yes",(((AK9+(IF(R9="IN-07",0,AH9))*AN9)*AS9)+AY9)*VLOOKUP("IN-34",'Assumptions &amp; Inputs'!$A$31:$F$69,5,FALSE),0),0)</f>
        <v>79780</v>
      </c>
      <c r="CJ9" s="4">
        <f>IF(BT9=1,((AI9+(IF(R9="IN-07",0,AF9))*AL9)*AS9)+AW9+(((AI9+(IF(R9="IN-07",0,AF9))*AL9)*AS9)*AZ9)+IF(BD9="Yes",(((AI9+(IF(R9="IN-07",0,AF9))*AL9)*AS9)+AW9)*VLOOKUP("IN-34",'Assumptions &amp; Inputs'!$A$31:$F$69,3,FALSE),0),0)</f>
        <v>14180.399999999998</v>
      </c>
      <c r="CK9" s="4">
        <f>IF(BT9=1,((AJ9+(IF(R9="IN-07",0,AG9))*AM9)*AS9)+AX9+(((AJ9+(IF(R9="IN-07",0,AG9))*AM9)*AS9)*AZ9)+IF(BD9="Yes",(((AJ9+(IF(R9="IN-07",0,AG9))*AM9)*AS9)+AX9)*VLOOKUP("IN-34",'Assumptions &amp; Inputs'!$A$31:$F$69,4,FALSE),0),0)</f>
        <v>19318.5</v>
      </c>
      <c r="CL9" s="4">
        <f>IF(BT9=1,((AK9+(IF(R9="IN-07",0,AH9))*AN9)*AS9)+AY9+(((AK9+(IF(R9="IN-07",0,AH9))*AN9)*AS9)*AZ9)+IF(BD9="Yes",(((AK9+(IF(R9="IN-07",0,AH9))*AN9)*AS9)+AY9)*VLOOKUP("IN-34",'Assumptions &amp; Inputs'!$A$31:$F$69,5,FALSE),0),0)</f>
        <v>79780</v>
      </c>
    </row>
    <row r="10" spans="1:90" ht="43.5" x14ac:dyDescent="0.35">
      <c r="A10" s="50" t="s">
        <v>605</v>
      </c>
      <c r="B10" s="50" t="s">
        <v>173</v>
      </c>
      <c r="C10" s="50" t="s">
        <v>47</v>
      </c>
      <c r="D10" s="50" t="s">
        <v>53</v>
      </c>
      <c r="E10" s="50" t="s">
        <v>606</v>
      </c>
      <c r="F10" s="50" t="s">
        <v>607</v>
      </c>
      <c r="G10" s="50" t="s">
        <v>608</v>
      </c>
      <c r="H10" s="50" t="s">
        <v>609</v>
      </c>
      <c r="I10" s="50" t="s">
        <v>158</v>
      </c>
      <c r="J10" s="50" t="s">
        <v>610</v>
      </c>
      <c r="K10" s="50" t="s">
        <v>611</v>
      </c>
      <c r="L10" s="50" t="s">
        <v>158</v>
      </c>
      <c r="M10" s="50" t="s">
        <v>532</v>
      </c>
      <c r="N10" s="50" t="s">
        <v>156</v>
      </c>
      <c r="O10" s="50" t="s">
        <v>533</v>
      </c>
      <c r="P10" s="50" t="s">
        <v>612</v>
      </c>
      <c r="Q10" s="50" t="s">
        <v>613</v>
      </c>
      <c r="R10" s="50" t="s">
        <v>323</v>
      </c>
      <c r="S10" s="50" t="s">
        <v>614</v>
      </c>
      <c r="T10" s="50" t="s">
        <v>615</v>
      </c>
      <c r="U10" s="50" t="s">
        <v>616</v>
      </c>
      <c r="V10" s="50" t="s">
        <v>539</v>
      </c>
      <c r="W10" s="50" t="s">
        <v>540</v>
      </c>
      <c r="X10" s="50" t="s">
        <v>617</v>
      </c>
      <c r="Y10" s="50" t="s">
        <v>600</v>
      </c>
      <c r="Z10" s="50" t="s">
        <v>543</v>
      </c>
      <c r="AA10" s="50" t="s">
        <v>602</v>
      </c>
      <c r="AB10" s="50" t="s">
        <v>36</v>
      </c>
      <c r="AC10" s="50" t="s">
        <v>618</v>
      </c>
      <c r="AD10" s="50" t="s">
        <v>619</v>
      </c>
      <c r="AE10" s="16">
        <f>IF(ISNUMBER(SEARCH('Scenario Definitions'!$C$5,N10)),1,0)</f>
        <v>1</v>
      </c>
      <c r="AF10" s="16">
        <f>IFERROR(VLOOKUP(R10,'Assumptions &amp; Inputs'!$A$31:$F$69,3,FALSE),0)</f>
        <v>2</v>
      </c>
      <c r="AG10" s="16">
        <f>IFERROR(VLOOKUP(R10,'Assumptions &amp; Inputs'!$A$31:$F$69,4,FALSE),0)</f>
        <v>2</v>
      </c>
      <c r="AH10" s="17">
        <f>IFERROR(VLOOKUP(R10,'Assumptions &amp; Inputs'!$A$31:$F$69,5,FALSE),0)</f>
        <v>3</v>
      </c>
      <c r="AI10" s="11">
        <v>0</v>
      </c>
      <c r="AJ10" s="11">
        <v>0</v>
      </c>
      <c r="AK10" s="11">
        <v>0</v>
      </c>
      <c r="AL10" s="11">
        <v>16.2</v>
      </c>
      <c r="AM10" s="11">
        <v>21.6</v>
      </c>
      <c r="AN10" s="11">
        <v>32.4</v>
      </c>
      <c r="AO10" s="36">
        <f t="shared" si="0"/>
        <v>32.4</v>
      </c>
      <c r="AP10" s="16">
        <f t="shared" si="1"/>
        <v>43.2</v>
      </c>
      <c r="AQ10" s="17">
        <f t="shared" si="2"/>
        <v>97.199999999999989</v>
      </c>
      <c r="AR10" s="58" t="s">
        <v>412</v>
      </c>
      <c r="AS10" s="32">
        <f>IFERROR(VLOOKUP(AR10,'Assumptions &amp; Inputs'!$A$73:$I$100,9,FALSE),0)</f>
        <v>180</v>
      </c>
      <c r="AT10" s="24">
        <f t="shared" si="3"/>
        <v>5832</v>
      </c>
      <c r="AU10" s="24">
        <f t="shared" si="4"/>
        <v>7776.0000000000009</v>
      </c>
      <c r="AV10" s="25">
        <f t="shared" si="5"/>
        <v>17495.999999999996</v>
      </c>
      <c r="AW10" s="57">
        <v>0</v>
      </c>
      <c r="AX10" s="57">
        <v>0</v>
      </c>
      <c r="AY10" s="57">
        <v>15000</v>
      </c>
      <c r="AZ10" s="32">
        <f>IFERROR(VLOOKUP(C10,'Assumptions &amp; Inputs'!$A$104:$B$107,2,FALSE),0)</f>
        <v>0.25</v>
      </c>
      <c r="BA10" s="24">
        <f t="shared" si="6"/>
        <v>1458</v>
      </c>
      <c r="BB10" s="24">
        <f t="shared" si="7"/>
        <v>1944.0000000000002</v>
      </c>
      <c r="BC10" s="25">
        <f t="shared" si="8"/>
        <v>4373.9999999999991</v>
      </c>
      <c r="BD10" s="57" t="s">
        <v>209</v>
      </c>
      <c r="BE10" s="32">
        <f>IF(BD10="Yes",(AT10+AW10)*VLOOKUP("IN-34",'Assumptions &amp; Inputs'!$A$31:$F$69,3,FALSE),0)</f>
        <v>291.60000000000002</v>
      </c>
      <c r="BF10" s="24">
        <f>IF(BD10="Yes",(AU10+AX10)*VLOOKUP("IN-34",'Assumptions &amp; Inputs'!$A$31:$F$69,4,FALSE),0)</f>
        <v>583.20000000000005</v>
      </c>
      <c r="BG10" s="24">
        <f>IF(BD10="Yes",(AV10+AY10)*VLOOKUP("IN-34",'Assumptions &amp; Inputs'!$A$31:$F$69,5,FALSE),0)</f>
        <v>4874.3999999999996</v>
      </c>
      <c r="BH10" s="24">
        <f t="shared" si="9"/>
        <v>7581.6</v>
      </c>
      <c r="BI10" s="24">
        <f t="shared" si="10"/>
        <v>10303.200000000003</v>
      </c>
      <c r="BJ10" s="25">
        <f t="shared" si="11"/>
        <v>41744.399999999994</v>
      </c>
      <c r="BK10" s="58" t="s">
        <v>548</v>
      </c>
      <c r="BL10" s="58" t="s">
        <v>549</v>
      </c>
      <c r="BM10" s="58" t="s">
        <v>602</v>
      </c>
      <c r="BN10" s="58" t="s">
        <v>550</v>
      </c>
      <c r="BO10" s="5">
        <f t="shared" si="12"/>
        <v>1</v>
      </c>
      <c r="BP10" s="5">
        <f t="shared" si="13"/>
        <v>1</v>
      </c>
      <c r="BQ10" s="5">
        <f t="shared" si="14"/>
        <v>1</v>
      </c>
      <c r="BR10" s="5">
        <f t="shared" si="15"/>
        <v>1</v>
      </c>
      <c r="BS10" s="5">
        <f t="shared" si="16"/>
        <v>1</v>
      </c>
      <c r="BT10" s="5">
        <f t="shared" si="17"/>
        <v>1</v>
      </c>
      <c r="BU10" s="4">
        <f>IF(BO10=1,((AI10+(IF(R10="IN-07",'Assumptions &amp; Inputs'!$C$66,AF10))*AL10)*AS10)+AW10+(((AI10+(IF(R10="IN-07",'Assumptions &amp; Inputs'!$C$66,AF10))*AL10)*AS10)*AZ10)+IF(BD10="Yes",(((AI10+(IF(R10="IN-07",'Assumptions &amp; Inputs'!$C$66,AF10))*AL10)*AS10)+AW10)*VLOOKUP("IN-34",'Assumptions &amp; Inputs'!$A$31:$F$69,3,FALSE),0),0)</f>
        <v>7581.6</v>
      </c>
      <c r="BV10" s="4">
        <f>IF(BO10=1,((AJ10+(IF(R10="IN-07",'Assumptions &amp; Inputs'!$D$66,AG10))*AM10)*AS10)+AX10+(((AJ10+(IF(R10="IN-07",'Assumptions &amp; Inputs'!$D$66,AG10))*AM10)*AS10)*AZ10)+IF(BD10="Yes",(((AJ10+(IF(R10="IN-07",'Assumptions &amp; Inputs'!$D$66,AG10))*AM10)*AS10)+AX10)*VLOOKUP("IN-34",'Assumptions &amp; Inputs'!$A$31:$F$69,4,FALSE),0),0)</f>
        <v>10303.200000000003</v>
      </c>
      <c r="BW10" s="4">
        <f>IF(BO10=1,((AK10+(IF(R10="IN-07",'Assumptions &amp; Inputs'!$E$66,AH10))*AN10)*AS10)+AY10+(((AK10+(IF(R10="IN-07",'Assumptions &amp; Inputs'!$E$66,AH10))*AN10)*AS10)*AZ10)+IF(BD10="Yes",(((AK10+(IF(R10="IN-07",'Assumptions &amp; Inputs'!$E$66,AH10))*AN10)*AS10)+AY10)*VLOOKUP("IN-34",'Assumptions &amp; Inputs'!$A$31:$F$69,5,FALSE),0),0)</f>
        <v>41744.399999999994</v>
      </c>
      <c r="BX10" s="4">
        <f>IF(BP10=1,((AI10+(IF(R10="IN-07",'Assumptions &amp; Inputs'!$C$66,AF10))*AL10)*AS10)+AW10+(((AI10+(IF(R10="IN-07",'Assumptions &amp; Inputs'!$C$66,AF10))*AL10)*AS10)*AZ10)+IF(BD10="Yes",(((AI10+(IF(R10="IN-07",'Assumptions &amp; Inputs'!$C$66,AF10))*AL10)*AS10)+AW10)*VLOOKUP("IN-34",'Assumptions &amp; Inputs'!$A$31:$F$69,3,FALSE),0),0)</f>
        <v>7581.6</v>
      </c>
      <c r="BY10" s="4">
        <f>IF(BP10=1,((AJ10+(IF(R10="IN-07",'Assumptions &amp; Inputs'!$D$66,AG10))*AM10)*AS10)+AX10+(((AJ10+(IF(R10="IN-07",'Assumptions &amp; Inputs'!$D$66,AG10))*AM10)*AS10)*AZ10)+IF(BD10="Yes",(((AJ10+(IF(R10="IN-07",'Assumptions &amp; Inputs'!$D$66,AG10))*AM10)*AS10)+AX10)*VLOOKUP("IN-34",'Assumptions &amp; Inputs'!$A$31:$F$69,4,FALSE),0),0)</f>
        <v>10303.200000000003</v>
      </c>
      <c r="BZ10" s="4">
        <f>IF(BP10=1,((AK10+(IF(R10="IN-07",'Assumptions &amp; Inputs'!$E$66,AH10))*AN10)*AS10)+AY10+(((AK10+(IF(R10="IN-07",'Assumptions &amp; Inputs'!$E$66,AH10))*AN10)*AS10)*AZ10)+IF(BD10="Yes",(((AK10+(IF(R10="IN-07",'Assumptions &amp; Inputs'!$E$66,AH10))*AN10)*AS10)+AY10)*VLOOKUP("IN-34",'Assumptions &amp; Inputs'!$A$31:$F$69,5,FALSE),0),0)</f>
        <v>41744.399999999994</v>
      </c>
      <c r="CA10" s="4">
        <f>IF(BQ10=1,((AI10+(IF(R10="IN-07",'Assumptions &amp; Inputs'!$C$65,AF10))*AL10)*AS10)+AW10+(((AI10+(IF(R10="IN-07",'Assumptions &amp; Inputs'!$C$65,AF10))*AL10)*AS10)*AZ10)+IF(BD10="Yes",(((AI10+(IF(R10="IN-07",'Assumptions &amp; Inputs'!$C$65,AF10))*AL10)*AS10)+AW10)*VLOOKUP("IN-34",'Assumptions &amp; Inputs'!$A$31:$F$69,3,FALSE),0),0)</f>
        <v>7581.6</v>
      </c>
      <c r="CB10" s="4">
        <f>IF(BQ10=1,((AJ10+(IF(R10="IN-07",'Assumptions &amp; Inputs'!$D$65,AG10))*AM10)*AS10)+AX10+(((AJ10+(IF(R10="IN-07",'Assumptions &amp; Inputs'!$D$65,AG10))*AM10)*AS10)*AZ10)+IF(BD10="Yes",(((AJ10+(IF(R10="IN-07",'Assumptions &amp; Inputs'!$D$65,AG10))*AM10)*AS10)+AX10)*VLOOKUP("IN-34",'Assumptions &amp; Inputs'!$A$31:$F$69,4,FALSE),0),0)</f>
        <v>10303.200000000003</v>
      </c>
      <c r="CC10" s="4">
        <f>IF(BQ10=1,((AK10+(IF(R10="IN-07",'Assumptions &amp; Inputs'!$E$65,AH10))*AN10)*AS10)+AY10+(((AK10+(IF(R10="IN-07",'Assumptions &amp; Inputs'!$E$65,AH10))*AN10)*AS10)*AZ10)+IF(BD10="Yes",(((AK10+(IF(R10="IN-07",'Assumptions &amp; Inputs'!$E$65,AH10))*AN10)*AS10)+AY10)*VLOOKUP("IN-34",'Assumptions &amp; Inputs'!$A$31:$F$69,5,FALSE),0),0)</f>
        <v>41744.399999999994</v>
      </c>
      <c r="CD10" s="4">
        <f>IF(BR10=1,((AI10+(IF(R10="IN-07",'Assumptions &amp; Inputs'!$C$65,AF10))*AL10)*AS10)+AW10+(((AI10+(IF(R10="IN-07",'Assumptions &amp; Inputs'!$C$65,AF10))*AL10)*AS10)*AZ10)+IF(BD10="Yes",(((AI10+(IF(R10="IN-07",'Assumptions &amp; Inputs'!$C$65,AF10))*AL10)*AS10)+AW10)*VLOOKUP("IN-34",'Assumptions &amp; Inputs'!$A$31:$F$69,3,FALSE),0),0)</f>
        <v>7581.6</v>
      </c>
      <c r="CE10" s="4">
        <f>IF(BR10=1,((AJ10+(IF(R10="IN-07",'Assumptions &amp; Inputs'!$D$65,AG10))*AM10)*AS10)+AX10+(((AJ10+(IF(R10="IN-07",'Assumptions &amp; Inputs'!$D$65,AG10))*AM10)*AS10)*AZ10)+IF(BD10="Yes",(((AJ10+(IF(R10="IN-07",'Assumptions &amp; Inputs'!$D$65,AG10))*AM10)*AS10)+AX10)*VLOOKUP("IN-34",'Assumptions &amp; Inputs'!$A$31:$F$69,4,FALSE),0),0)</f>
        <v>10303.200000000003</v>
      </c>
      <c r="CF10" s="4">
        <f>IF(BR10=1,((AK10+(IF(R10="IN-07",'Assumptions &amp; Inputs'!$E$65,AH10))*AN10)*AS10)+AY10+(((AK10+(IF(R10="IN-07",'Assumptions &amp; Inputs'!$E$65,AH10))*AN10)*AS10)*AZ10)+IF(BD10="Yes",(((AK10+(IF(R10="IN-07",'Assumptions &amp; Inputs'!$E$65,AH10))*AN10)*AS10)+AY10)*VLOOKUP("IN-34",'Assumptions &amp; Inputs'!$A$31:$F$69,5,FALSE),0),0)</f>
        <v>41744.399999999994</v>
      </c>
      <c r="CG10" s="4">
        <f>IF(BS10=1,((AI10+(IF(R10="IN-07",0,AF10))*AL10)*AS10)+AW10+(((AI10+(IF(R10="IN-07",0,AF10))*AL10)*AS10)*AZ10)+IF(BD10="Yes",(((AI10+(IF(R10="IN-07",0,AF10))*AL10)*AS10)+AW10)*VLOOKUP("IN-34",'Assumptions &amp; Inputs'!$A$31:$F$69,3,FALSE),0),0)</f>
        <v>7581.6</v>
      </c>
      <c r="CH10" s="4">
        <f>IF(BS10=1,((AJ10+(IF(R10="IN-07",0,AG10))*AM10)*AS10)+AX10+(((AJ10+(IF(R10="IN-07",0,AG10))*AM10)*AS10)*AZ10)+IF(BD10="Yes",(((AJ10+(IF(R10="IN-07",0,AG10))*AM10)*AS10)+AX10)*VLOOKUP("IN-34",'Assumptions &amp; Inputs'!$A$31:$F$69,4,FALSE),0),0)</f>
        <v>10303.200000000003</v>
      </c>
      <c r="CI10" s="4">
        <f>IF(BS10=1,((AK10+(IF(R10="IN-07",0,AH10))*AN10)*AS10)+AY10+(((AK10+(IF(R10="IN-07",0,AH10))*AN10)*AS10)*AZ10)+IF(BD10="Yes",(((AK10+(IF(R10="IN-07",0,AH10))*AN10)*AS10)+AY10)*VLOOKUP("IN-34",'Assumptions &amp; Inputs'!$A$31:$F$69,5,FALSE),0),0)</f>
        <v>41744.399999999994</v>
      </c>
      <c r="CJ10" s="4">
        <f>IF(BT10=1,((AI10+(IF(R10="IN-07",0,AF10))*AL10)*AS10)+AW10+(((AI10+(IF(R10="IN-07",0,AF10))*AL10)*AS10)*AZ10)+IF(BD10="Yes",(((AI10+(IF(R10="IN-07",0,AF10))*AL10)*AS10)+AW10)*VLOOKUP("IN-34",'Assumptions &amp; Inputs'!$A$31:$F$69,3,FALSE),0),0)</f>
        <v>7581.6</v>
      </c>
      <c r="CK10" s="4">
        <f>IF(BT10=1,((AJ10+(IF(R10="IN-07",0,AG10))*AM10)*AS10)+AX10+(((AJ10+(IF(R10="IN-07",0,AG10))*AM10)*AS10)*AZ10)+IF(BD10="Yes",(((AJ10+(IF(R10="IN-07",0,AG10))*AM10)*AS10)+AX10)*VLOOKUP("IN-34",'Assumptions &amp; Inputs'!$A$31:$F$69,4,FALSE),0),0)</f>
        <v>10303.200000000003</v>
      </c>
      <c r="CL10" s="4">
        <f>IF(BT10=1,((AK10+(IF(R10="IN-07",0,AH10))*AN10)*AS10)+AY10+(((AK10+(IF(R10="IN-07",0,AH10))*AN10)*AS10)*AZ10)+IF(BD10="Yes",(((AK10+(IF(R10="IN-07",0,AH10))*AN10)*AS10)+AY10)*VLOOKUP("IN-34",'Assumptions &amp; Inputs'!$A$31:$F$69,5,FALSE),0),0)</f>
        <v>41744.399999999994</v>
      </c>
    </row>
    <row r="11" spans="1:90" ht="43.5" x14ac:dyDescent="0.35">
      <c r="A11" s="50" t="s">
        <v>620</v>
      </c>
      <c r="B11" s="50" t="s">
        <v>175</v>
      </c>
      <c r="C11" s="50" t="s">
        <v>47</v>
      </c>
      <c r="D11" s="50" t="s">
        <v>53</v>
      </c>
      <c r="E11" s="50" t="s">
        <v>621</v>
      </c>
      <c r="F11" s="50" t="s">
        <v>622</v>
      </c>
      <c r="G11" s="50" t="s">
        <v>623</v>
      </c>
      <c r="H11" s="50" t="s">
        <v>624</v>
      </c>
      <c r="I11" s="50" t="s">
        <v>158</v>
      </c>
      <c r="J11" s="50" t="s">
        <v>625</v>
      </c>
      <c r="K11" s="50" t="s">
        <v>626</v>
      </c>
      <c r="L11" s="50" t="s">
        <v>158</v>
      </c>
      <c r="M11" s="50" t="s">
        <v>532</v>
      </c>
      <c r="N11" s="50" t="s">
        <v>156</v>
      </c>
      <c r="O11" s="50" t="s">
        <v>533</v>
      </c>
      <c r="P11" s="50" t="s">
        <v>627</v>
      </c>
      <c r="Q11" s="50" t="s">
        <v>628</v>
      </c>
      <c r="R11" s="50" t="s">
        <v>374</v>
      </c>
      <c r="S11" s="50" t="s">
        <v>614</v>
      </c>
      <c r="T11" s="50" t="s">
        <v>629</v>
      </c>
      <c r="U11" s="50" t="s">
        <v>630</v>
      </c>
      <c r="V11" s="50" t="s">
        <v>539</v>
      </c>
      <c r="W11" s="50" t="s">
        <v>631</v>
      </c>
      <c r="X11" s="50" t="s">
        <v>632</v>
      </c>
      <c r="Y11" s="50" t="s">
        <v>633</v>
      </c>
      <c r="Z11" s="50" t="s">
        <v>543</v>
      </c>
      <c r="AA11" s="50" t="s">
        <v>634</v>
      </c>
      <c r="AB11" s="50" t="s">
        <v>36</v>
      </c>
      <c r="AC11" s="50" t="s">
        <v>635</v>
      </c>
      <c r="AD11" s="50" t="s">
        <v>636</v>
      </c>
      <c r="AE11" s="16">
        <f>IF(ISNUMBER(SEARCH('Scenario Definitions'!$C$5,N11)),1,0)</f>
        <v>1</v>
      </c>
      <c r="AF11" s="16">
        <f>IFERROR(VLOOKUP(R11,'Assumptions &amp; Inputs'!$A$31:$F$69,3,FALSE),0)</f>
        <v>1</v>
      </c>
      <c r="AG11" s="16">
        <f>IFERROR(VLOOKUP(R11,'Assumptions &amp; Inputs'!$A$31:$F$69,4,FALSE),0)</f>
        <v>1</v>
      </c>
      <c r="AH11" s="17">
        <f>IFERROR(VLOOKUP(R11,'Assumptions &amp; Inputs'!$A$31:$F$69,5,FALSE),0)</f>
        <v>2</v>
      </c>
      <c r="AI11" s="11">
        <v>0</v>
      </c>
      <c r="AJ11" s="11">
        <v>0</v>
      </c>
      <c r="AK11" s="11">
        <v>0</v>
      </c>
      <c r="AL11" s="11">
        <v>16.2</v>
      </c>
      <c r="AM11" s="11">
        <v>21.6</v>
      </c>
      <c r="AN11" s="11">
        <v>32.4</v>
      </c>
      <c r="AO11" s="36">
        <f t="shared" si="0"/>
        <v>16.2</v>
      </c>
      <c r="AP11" s="16">
        <f t="shared" si="1"/>
        <v>21.6</v>
      </c>
      <c r="AQ11" s="17">
        <f t="shared" si="2"/>
        <v>64.8</v>
      </c>
      <c r="AR11" s="58" t="s">
        <v>412</v>
      </c>
      <c r="AS11" s="32">
        <f>IFERROR(VLOOKUP(AR11,'Assumptions &amp; Inputs'!$A$73:$I$100,9,FALSE),0)</f>
        <v>180</v>
      </c>
      <c r="AT11" s="24">
        <f t="shared" si="3"/>
        <v>2916</v>
      </c>
      <c r="AU11" s="24">
        <f t="shared" si="4"/>
        <v>3888.0000000000005</v>
      </c>
      <c r="AV11" s="25">
        <f t="shared" si="5"/>
        <v>11664</v>
      </c>
      <c r="AW11" s="57">
        <v>0</v>
      </c>
      <c r="AX11" s="57">
        <v>5000</v>
      </c>
      <c r="AY11" s="57">
        <v>40000</v>
      </c>
      <c r="AZ11" s="32">
        <f>IFERROR(VLOOKUP(C11,'Assumptions &amp; Inputs'!$A$104:$B$107,2,FALSE),0)</f>
        <v>0.25</v>
      </c>
      <c r="BA11" s="24">
        <f t="shared" si="6"/>
        <v>729</v>
      </c>
      <c r="BB11" s="24">
        <f t="shared" si="7"/>
        <v>972.00000000000011</v>
      </c>
      <c r="BC11" s="25">
        <f t="shared" si="8"/>
        <v>2916</v>
      </c>
      <c r="BD11" s="57" t="s">
        <v>209</v>
      </c>
      <c r="BE11" s="32">
        <f>IF(BD11="Yes",(AT11+AW11)*VLOOKUP("IN-34",'Assumptions &amp; Inputs'!$A$31:$F$69,3,FALSE),0)</f>
        <v>145.80000000000001</v>
      </c>
      <c r="BF11" s="24">
        <f>IF(BD11="Yes",(AU11+AX11)*VLOOKUP("IN-34",'Assumptions &amp; Inputs'!$A$31:$F$69,4,FALSE),0)</f>
        <v>666.6</v>
      </c>
      <c r="BG11" s="24">
        <f>IF(BD11="Yes",(AV11+AY11)*VLOOKUP("IN-34",'Assumptions &amp; Inputs'!$A$31:$F$69,5,FALSE),0)</f>
        <v>7749.5999999999995</v>
      </c>
      <c r="BH11" s="24">
        <f t="shared" si="9"/>
        <v>3790.8</v>
      </c>
      <c r="BI11" s="24">
        <f t="shared" si="10"/>
        <v>10526.6</v>
      </c>
      <c r="BJ11" s="25">
        <f t="shared" si="11"/>
        <v>62329.599999999999</v>
      </c>
      <c r="BK11" s="58" t="s">
        <v>548</v>
      </c>
      <c r="BL11" s="58" t="s">
        <v>549</v>
      </c>
      <c r="BM11" s="58" t="s">
        <v>634</v>
      </c>
      <c r="BN11" s="58" t="s">
        <v>550</v>
      </c>
      <c r="BO11" s="5">
        <f t="shared" si="12"/>
        <v>1</v>
      </c>
      <c r="BP11" s="5">
        <f t="shared" si="13"/>
        <v>1</v>
      </c>
      <c r="BQ11" s="5">
        <f t="shared" si="14"/>
        <v>1</v>
      </c>
      <c r="BR11" s="5">
        <f t="shared" si="15"/>
        <v>1</v>
      </c>
      <c r="BS11" s="5">
        <f t="shared" si="16"/>
        <v>1</v>
      </c>
      <c r="BT11" s="5">
        <f t="shared" si="17"/>
        <v>1</v>
      </c>
      <c r="BU11" s="4">
        <f>IF(BO11=1,((AI11+(IF(R11="IN-07",'Assumptions &amp; Inputs'!$C$66,AF11))*AL11)*AS11)+AW11+(((AI11+(IF(R11="IN-07",'Assumptions &amp; Inputs'!$C$66,AF11))*AL11)*AS11)*AZ11)+IF(BD11="Yes",(((AI11+(IF(R11="IN-07",'Assumptions &amp; Inputs'!$C$66,AF11))*AL11)*AS11)+AW11)*VLOOKUP("IN-34",'Assumptions &amp; Inputs'!$A$31:$F$69,3,FALSE),0),0)</f>
        <v>3790.8</v>
      </c>
      <c r="BV11" s="4">
        <f>IF(BO11=1,((AJ11+(IF(R11="IN-07",'Assumptions &amp; Inputs'!$D$66,AG11))*AM11)*AS11)+AX11+(((AJ11+(IF(R11="IN-07",'Assumptions &amp; Inputs'!$D$66,AG11))*AM11)*AS11)*AZ11)+IF(BD11="Yes",(((AJ11+(IF(R11="IN-07",'Assumptions &amp; Inputs'!$D$66,AG11))*AM11)*AS11)+AX11)*VLOOKUP("IN-34",'Assumptions &amp; Inputs'!$A$31:$F$69,4,FALSE),0),0)</f>
        <v>10526.6</v>
      </c>
      <c r="BW11" s="4">
        <f>IF(BO11=1,((AK11+(IF(R11="IN-07",'Assumptions &amp; Inputs'!$E$66,AH11))*AN11)*AS11)+AY11+(((AK11+(IF(R11="IN-07",'Assumptions &amp; Inputs'!$E$66,AH11))*AN11)*AS11)*AZ11)+IF(BD11="Yes",(((AK11+(IF(R11="IN-07",'Assumptions &amp; Inputs'!$E$66,AH11))*AN11)*AS11)+AY11)*VLOOKUP("IN-34",'Assumptions &amp; Inputs'!$A$31:$F$69,5,FALSE),0),0)</f>
        <v>62329.599999999999</v>
      </c>
      <c r="BX11" s="4">
        <f>IF(BP11=1,((AI11+(IF(R11="IN-07",'Assumptions &amp; Inputs'!$C$66,AF11))*AL11)*AS11)+AW11+(((AI11+(IF(R11="IN-07",'Assumptions &amp; Inputs'!$C$66,AF11))*AL11)*AS11)*AZ11)+IF(BD11="Yes",(((AI11+(IF(R11="IN-07",'Assumptions &amp; Inputs'!$C$66,AF11))*AL11)*AS11)+AW11)*VLOOKUP("IN-34",'Assumptions &amp; Inputs'!$A$31:$F$69,3,FALSE),0),0)</f>
        <v>3790.8</v>
      </c>
      <c r="BY11" s="4">
        <f>IF(BP11=1,((AJ11+(IF(R11="IN-07",'Assumptions &amp; Inputs'!$D$66,AG11))*AM11)*AS11)+AX11+(((AJ11+(IF(R11="IN-07",'Assumptions &amp; Inputs'!$D$66,AG11))*AM11)*AS11)*AZ11)+IF(BD11="Yes",(((AJ11+(IF(R11="IN-07",'Assumptions &amp; Inputs'!$D$66,AG11))*AM11)*AS11)+AX11)*VLOOKUP("IN-34",'Assumptions &amp; Inputs'!$A$31:$F$69,4,FALSE),0),0)</f>
        <v>10526.6</v>
      </c>
      <c r="BZ11" s="4">
        <f>IF(BP11=1,((AK11+(IF(R11="IN-07",'Assumptions &amp; Inputs'!$E$66,AH11))*AN11)*AS11)+AY11+(((AK11+(IF(R11="IN-07",'Assumptions &amp; Inputs'!$E$66,AH11))*AN11)*AS11)*AZ11)+IF(BD11="Yes",(((AK11+(IF(R11="IN-07",'Assumptions &amp; Inputs'!$E$66,AH11))*AN11)*AS11)+AY11)*VLOOKUP("IN-34",'Assumptions &amp; Inputs'!$A$31:$F$69,5,FALSE),0),0)</f>
        <v>62329.599999999999</v>
      </c>
      <c r="CA11" s="4">
        <f>IF(BQ11=1,((AI11+(IF(R11="IN-07",'Assumptions &amp; Inputs'!$C$65,AF11))*AL11)*AS11)+AW11+(((AI11+(IF(R11="IN-07",'Assumptions &amp; Inputs'!$C$65,AF11))*AL11)*AS11)*AZ11)+IF(BD11="Yes",(((AI11+(IF(R11="IN-07",'Assumptions &amp; Inputs'!$C$65,AF11))*AL11)*AS11)+AW11)*VLOOKUP("IN-34",'Assumptions &amp; Inputs'!$A$31:$F$69,3,FALSE),0),0)</f>
        <v>3790.8</v>
      </c>
      <c r="CB11" s="4">
        <f>IF(BQ11=1,((AJ11+(IF(R11="IN-07",'Assumptions &amp; Inputs'!$D$65,AG11))*AM11)*AS11)+AX11+(((AJ11+(IF(R11="IN-07",'Assumptions &amp; Inputs'!$D$65,AG11))*AM11)*AS11)*AZ11)+IF(BD11="Yes",(((AJ11+(IF(R11="IN-07",'Assumptions &amp; Inputs'!$D$65,AG11))*AM11)*AS11)+AX11)*VLOOKUP("IN-34",'Assumptions &amp; Inputs'!$A$31:$F$69,4,FALSE),0),0)</f>
        <v>10526.6</v>
      </c>
      <c r="CC11" s="4">
        <f>IF(BQ11=1,((AK11+(IF(R11="IN-07",'Assumptions &amp; Inputs'!$E$65,AH11))*AN11)*AS11)+AY11+(((AK11+(IF(R11="IN-07",'Assumptions &amp; Inputs'!$E$65,AH11))*AN11)*AS11)*AZ11)+IF(BD11="Yes",(((AK11+(IF(R11="IN-07",'Assumptions &amp; Inputs'!$E$65,AH11))*AN11)*AS11)+AY11)*VLOOKUP("IN-34",'Assumptions &amp; Inputs'!$A$31:$F$69,5,FALSE),0),0)</f>
        <v>62329.599999999999</v>
      </c>
      <c r="CD11" s="4">
        <f>IF(BR11=1,((AI11+(IF(R11="IN-07",'Assumptions &amp; Inputs'!$C$65,AF11))*AL11)*AS11)+AW11+(((AI11+(IF(R11="IN-07",'Assumptions &amp; Inputs'!$C$65,AF11))*AL11)*AS11)*AZ11)+IF(BD11="Yes",(((AI11+(IF(R11="IN-07",'Assumptions &amp; Inputs'!$C$65,AF11))*AL11)*AS11)+AW11)*VLOOKUP("IN-34",'Assumptions &amp; Inputs'!$A$31:$F$69,3,FALSE),0),0)</f>
        <v>3790.8</v>
      </c>
      <c r="CE11" s="4">
        <f>IF(BR11=1,((AJ11+(IF(R11="IN-07",'Assumptions &amp; Inputs'!$D$65,AG11))*AM11)*AS11)+AX11+(((AJ11+(IF(R11="IN-07",'Assumptions &amp; Inputs'!$D$65,AG11))*AM11)*AS11)*AZ11)+IF(BD11="Yes",(((AJ11+(IF(R11="IN-07",'Assumptions &amp; Inputs'!$D$65,AG11))*AM11)*AS11)+AX11)*VLOOKUP("IN-34",'Assumptions &amp; Inputs'!$A$31:$F$69,4,FALSE),0),0)</f>
        <v>10526.6</v>
      </c>
      <c r="CF11" s="4">
        <f>IF(BR11=1,((AK11+(IF(R11="IN-07",'Assumptions &amp; Inputs'!$E$65,AH11))*AN11)*AS11)+AY11+(((AK11+(IF(R11="IN-07",'Assumptions &amp; Inputs'!$E$65,AH11))*AN11)*AS11)*AZ11)+IF(BD11="Yes",(((AK11+(IF(R11="IN-07",'Assumptions &amp; Inputs'!$E$65,AH11))*AN11)*AS11)+AY11)*VLOOKUP("IN-34",'Assumptions &amp; Inputs'!$A$31:$F$69,5,FALSE),0),0)</f>
        <v>62329.599999999999</v>
      </c>
      <c r="CG11" s="4">
        <f>IF(BS11=1,((AI11+(IF(R11="IN-07",0,AF11))*AL11)*AS11)+AW11+(((AI11+(IF(R11="IN-07",0,AF11))*AL11)*AS11)*AZ11)+IF(BD11="Yes",(((AI11+(IF(R11="IN-07",0,AF11))*AL11)*AS11)+AW11)*VLOOKUP("IN-34",'Assumptions &amp; Inputs'!$A$31:$F$69,3,FALSE),0),0)</f>
        <v>3790.8</v>
      </c>
      <c r="CH11" s="4">
        <f>IF(BS11=1,((AJ11+(IF(R11="IN-07",0,AG11))*AM11)*AS11)+AX11+(((AJ11+(IF(R11="IN-07",0,AG11))*AM11)*AS11)*AZ11)+IF(BD11="Yes",(((AJ11+(IF(R11="IN-07",0,AG11))*AM11)*AS11)+AX11)*VLOOKUP("IN-34",'Assumptions &amp; Inputs'!$A$31:$F$69,4,FALSE),0),0)</f>
        <v>10526.6</v>
      </c>
      <c r="CI11" s="4">
        <f>IF(BS11=1,((AK11+(IF(R11="IN-07",0,AH11))*AN11)*AS11)+AY11+(((AK11+(IF(R11="IN-07",0,AH11))*AN11)*AS11)*AZ11)+IF(BD11="Yes",(((AK11+(IF(R11="IN-07",0,AH11))*AN11)*AS11)+AY11)*VLOOKUP("IN-34",'Assumptions &amp; Inputs'!$A$31:$F$69,5,FALSE),0),0)</f>
        <v>62329.599999999999</v>
      </c>
      <c r="CJ11" s="4">
        <f>IF(BT11=1,((AI11+(IF(R11="IN-07",0,AF11))*AL11)*AS11)+AW11+(((AI11+(IF(R11="IN-07",0,AF11))*AL11)*AS11)*AZ11)+IF(BD11="Yes",(((AI11+(IF(R11="IN-07",0,AF11))*AL11)*AS11)+AW11)*VLOOKUP("IN-34",'Assumptions &amp; Inputs'!$A$31:$F$69,3,FALSE),0),0)</f>
        <v>3790.8</v>
      </c>
      <c r="CK11" s="4">
        <f>IF(BT11=1,((AJ11+(IF(R11="IN-07",0,AG11))*AM11)*AS11)+AX11+(((AJ11+(IF(R11="IN-07",0,AG11))*AM11)*AS11)*AZ11)+IF(BD11="Yes",(((AJ11+(IF(R11="IN-07",0,AG11))*AM11)*AS11)+AX11)*VLOOKUP("IN-34",'Assumptions &amp; Inputs'!$A$31:$F$69,4,FALSE),0),0)</f>
        <v>10526.6</v>
      </c>
      <c r="CL11" s="4">
        <f>IF(BT11=1,((AK11+(IF(R11="IN-07",0,AH11))*AN11)*AS11)+AY11+(((AK11+(IF(R11="IN-07",0,AH11))*AN11)*AS11)*AZ11)+IF(BD11="Yes",(((AK11+(IF(R11="IN-07",0,AH11))*AN11)*AS11)+AY11)*VLOOKUP("IN-34",'Assumptions &amp; Inputs'!$A$31:$F$69,5,FALSE),0),0)</f>
        <v>62329.599999999999</v>
      </c>
    </row>
    <row r="12" spans="1:90" ht="43.5" x14ac:dyDescent="0.35">
      <c r="A12" s="50" t="s">
        <v>637</v>
      </c>
      <c r="B12" s="50" t="s">
        <v>177</v>
      </c>
      <c r="C12" s="50" t="s">
        <v>47</v>
      </c>
      <c r="D12" s="50" t="s">
        <v>54</v>
      </c>
      <c r="E12" s="50" t="s">
        <v>638</v>
      </c>
      <c r="F12" s="50" t="s">
        <v>639</v>
      </c>
      <c r="G12" s="50" t="s">
        <v>640</v>
      </c>
      <c r="H12" s="50" t="s">
        <v>641</v>
      </c>
      <c r="I12" s="50" t="s">
        <v>158</v>
      </c>
      <c r="J12" s="50" t="s">
        <v>642</v>
      </c>
      <c r="K12" s="50" t="s">
        <v>643</v>
      </c>
      <c r="L12" s="50" t="s">
        <v>158</v>
      </c>
      <c r="M12" s="50" t="s">
        <v>532</v>
      </c>
      <c r="N12" s="50" t="s">
        <v>156</v>
      </c>
      <c r="O12" s="50" t="s">
        <v>533</v>
      </c>
      <c r="P12" s="50" t="s">
        <v>612</v>
      </c>
      <c r="Q12" s="50" t="s">
        <v>644</v>
      </c>
      <c r="R12" s="50" t="s">
        <v>326</v>
      </c>
      <c r="S12" s="50" t="s">
        <v>614</v>
      </c>
      <c r="T12" s="50" t="s">
        <v>645</v>
      </c>
      <c r="U12" s="50" t="s">
        <v>646</v>
      </c>
      <c r="V12" s="50" t="s">
        <v>539</v>
      </c>
      <c r="W12" s="50" t="s">
        <v>540</v>
      </c>
      <c r="X12" s="50" t="s">
        <v>647</v>
      </c>
      <c r="Y12" s="50" t="s">
        <v>171</v>
      </c>
      <c r="Z12" s="50" t="s">
        <v>543</v>
      </c>
      <c r="AA12" s="50" t="s">
        <v>648</v>
      </c>
      <c r="AB12" s="50" t="s">
        <v>545</v>
      </c>
      <c r="AC12" s="50" t="s">
        <v>649</v>
      </c>
      <c r="AD12" s="50" t="s">
        <v>650</v>
      </c>
      <c r="AE12" s="16">
        <f>IF(ISNUMBER(SEARCH('Scenario Definitions'!$C$5,N12)),1,0)</f>
        <v>1</v>
      </c>
      <c r="AF12" s="16">
        <f>IFERROR(VLOOKUP(R12,'Assumptions &amp; Inputs'!$A$31:$F$69,3,FALSE),0)</f>
        <v>1</v>
      </c>
      <c r="AG12" s="16">
        <f>IFERROR(VLOOKUP(R12,'Assumptions &amp; Inputs'!$A$31:$F$69,4,FALSE),0)</f>
        <v>1</v>
      </c>
      <c r="AH12" s="17">
        <f>IFERROR(VLOOKUP(R12,'Assumptions &amp; Inputs'!$A$31:$F$69,5,FALSE),0)</f>
        <v>2</v>
      </c>
      <c r="AI12" s="11">
        <v>0</v>
      </c>
      <c r="AJ12" s="11">
        <v>0</v>
      </c>
      <c r="AK12" s="11">
        <v>0</v>
      </c>
      <c r="AL12" s="11">
        <v>12</v>
      </c>
      <c r="AM12" s="11">
        <v>16</v>
      </c>
      <c r="AN12" s="11">
        <v>24</v>
      </c>
      <c r="AO12" s="36">
        <f t="shared" si="0"/>
        <v>12</v>
      </c>
      <c r="AP12" s="16">
        <f t="shared" si="1"/>
        <v>16</v>
      </c>
      <c r="AQ12" s="17">
        <f t="shared" si="2"/>
        <v>48</v>
      </c>
      <c r="AR12" s="58" t="s">
        <v>406</v>
      </c>
      <c r="AS12" s="32">
        <f>IFERROR(VLOOKUP(AR12,'Assumptions &amp; Inputs'!$A$73:$I$100,9,FALSE),0)</f>
        <v>125</v>
      </c>
      <c r="AT12" s="24">
        <f t="shared" si="3"/>
        <v>1500</v>
      </c>
      <c r="AU12" s="24">
        <f t="shared" si="4"/>
        <v>2000</v>
      </c>
      <c r="AV12" s="25">
        <f t="shared" si="5"/>
        <v>6000</v>
      </c>
      <c r="AW12" s="57">
        <v>0</v>
      </c>
      <c r="AX12" s="57">
        <v>0</v>
      </c>
      <c r="AY12" s="57">
        <v>0</v>
      </c>
      <c r="AZ12" s="32">
        <f>IFERROR(VLOOKUP(C12,'Assumptions &amp; Inputs'!$A$104:$B$107,2,FALSE),0)</f>
        <v>0.25</v>
      </c>
      <c r="BA12" s="24">
        <f t="shared" si="6"/>
        <v>375</v>
      </c>
      <c r="BB12" s="24">
        <f t="shared" si="7"/>
        <v>500</v>
      </c>
      <c r="BC12" s="25">
        <f t="shared" si="8"/>
        <v>1500</v>
      </c>
      <c r="BD12" s="57" t="s">
        <v>209</v>
      </c>
      <c r="BE12" s="32">
        <f>IF(BD12="Yes",(AT12+AW12)*VLOOKUP("IN-34",'Assumptions &amp; Inputs'!$A$31:$F$69,3,FALSE),0)</f>
        <v>75</v>
      </c>
      <c r="BF12" s="24">
        <f>IF(BD12="Yes",(AU12+AX12)*VLOOKUP("IN-34",'Assumptions &amp; Inputs'!$A$31:$F$69,4,FALSE),0)</f>
        <v>150</v>
      </c>
      <c r="BG12" s="24">
        <f>IF(BD12="Yes",(AV12+AY12)*VLOOKUP("IN-34",'Assumptions &amp; Inputs'!$A$31:$F$69,5,FALSE),0)</f>
        <v>900</v>
      </c>
      <c r="BH12" s="24">
        <f t="shared" si="9"/>
        <v>1950</v>
      </c>
      <c r="BI12" s="24">
        <f t="shared" si="10"/>
        <v>2650</v>
      </c>
      <c r="BJ12" s="25">
        <f t="shared" si="11"/>
        <v>8400</v>
      </c>
      <c r="BK12" s="58" t="s">
        <v>548</v>
      </c>
      <c r="BL12" s="58" t="s">
        <v>549</v>
      </c>
      <c r="BM12" s="58" t="s">
        <v>648</v>
      </c>
      <c r="BN12" s="58" t="s">
        <v>550</v>
      </c>
      <c r="BO12" s="5">
        <f t="shared" si="12"/>
        <v>1</v>
      </c>
      <c r="BP12" s="5">
        <f t="shared" si="13"/>
        <v>1</v>
      </c>
      <c r="BQ12" s="5">
        <f t="shared" si="14"/>
        <v>1</v>
      </c>
      <c r="BR12" s="5">
        <f t="shared" si="15"/>
        <v>1</v>
      </c>
      <c r="BS12" s="5">
        <f t="shared" si="16"/>
        <v>1</v>
      </c>
      <c r="BT12" s="5">
        <f t="shared" si="17"/>
        <v>1</v>
      </c>
      <c r="BU12" s="4">
        <f>IF(BO12=1,((AI12+(IF(R12="IN-07",'Assumptions &amp; Inputs'!$C$66,AF12))*AL12)*AS12)+AW12+(((AI12+(IF(R12="IN-07",'Assumptions &amp; Inputs'!$C$66,AF12))*AL12)*AS12)*AZ12)+IF(BD12="Yes",(((AI12+(IF(R12="IN-07",'Assumptions &amp; Inputs'!$C$66,AF12))*AL12)*AS12)+AW12)*VLOOKUP("IN-34",'Assumptions &amp; Inputs'!$A$31:$F$69,3,FALSE),0),0)</f>
        <v>1950</v>
      </c>
      <c r="BV12" s="4">
        <f>IF(BO12=1,((AJ12+(IF(R12="IN-07",'Assumptions &amp; Inputs'!$D$66,AG12))*AM12)*AS12)+AX12+(((AJ12+(IF(R12="IN-07",'Assumptions &amp; Inputs'!$D$66,AG12))*AM12)*AS12)*AZ12)+IF(BD12="Yes",(((AJ12+(IF(R12="IN-07",'Assumptions &amp; Inputs'!$D$66,AG12))*AM12)*AS12)+AX12)*VLOOKUP("IN-34",'Assumptions &amp; Inputs'!$A$31:$F$69,4,FALSE),0),0)</f>
        <v>2650</v>
      </c>
      <c r="BW12" s="4">
        <f>IF(BO12=1,((AK12+(IF(R12="IN-07",'Assumptions &amp; Inputs'!$E$66,AH12))*AN12)*AS12)+AY12+(((AK12+(IF(R12="IN-07",'Assumptions &amp; Inputs'!$E$66,AH12))*AN12)*AS12)*AZ12)+IF(BD12="Yes",(((AK12+(IF(R12="IN-07",'Assumptions &amp; Inputs'!$E$66,AH12))*AN12)*AS12)+AY12)*VLOOKUP("IN-34",'Assumptions &amp; Inputs'!$A$31:$F$69,5,FALSE),0),0)</f>
        <v>8400</v>
      </c>
      <c r="BX12" s="4">
        <f>IF(BP12=1,((AI12+(IF(R12="IN-07",'Assumptions &amp; Inputs'!$C$66,AF12))*AL12)*AS12)+AW12+(((AI12+(IF(R12="IN-07",'Assumptions &amp; Inputs'!$C$66,AF12))*AL12)*AS12)*AZ12)+IF(BD12="Yes",(((AI12+(IF(R12="IN-07",'Assumptions &amp; Inputs'!$C$66,AF12))*AL12)*AS12)+AW12)*VLOOKUP("IN-34",'Assumptions &amp; Inputs'!$A$31:$F$69,3,FALSE),0),0)</f>
        <v>1950</v>
      </c>
      <c r="BY12" s="4">
        <f>IF(BP12=1,((AJ12+(IF(R12="IN-07",'Assumptions &amp; Inputs'!$D$66,AG12))*AM12)*AS12)+AX12+(((AJ12+(IF(R12="IN-07",'Assumptions &amp; Inputs'!$D$66,AG12))*AM12)*AS12)*AZ12)+IF(BD12="Yes",(((AJ12+(IF(R12="IN-07",'Assumptions &amp; Inputs'!$D$66,AG12))*AM12)*AS12)+AX12)*VLOOKUP("IN-34",'Assumptions &amp; Inputs'!$A$31:$F$69,4,FALSE),0),0)</f>
        <v>2650</v>
      </c>
      <c r="BZ12" s="4">
        <f>IF(BP12=1,((AK12+(IF(R12="IN-07",'Assumptions &amp; Inputs'!$E$66,AH12))*AN12)*AS12)+AY12+(((AK12+(IF(R12="IN-07",'Assumptions &amp; Inputs'!$E$66,AH12))*AN12)*AS12)*AZ12)+IF(BD12="Yes",(((AK12+(IF(R12="IN-07",'Assumptions &amp; Inputs'!$E$66,AH12))*AN12)*AS12)+AY12)*VLOOKUP("IN-34",'Assumptions &amp; Inputs'!$A$31:$F$69,5,FALSE),0),0)</f>
        <v>8400</v>
      </c>
      <c r="CA12" s="4">
        <f>IF(BQ12=1,((AI12+(IF(R12="IN-07",'Assumptions &amp; Inputs'!$C$65,AF12))*AL12)*AS12)+AW12+(((AI12+(IF(R12="IN-07",'Assumptions &amp; Inputs'!$C$65,AF12))*AL12)*AS12)*AZ12)+IF(BD12="Yes",(((AI12+(IF(R12="IN-07",'Assumptions &amp; Inputs'!$C$65,AF12))*AL12)*AS12)+AW12)*VLOOKUP("IN-34",'Assumptions &amp; Inputs'!$A$31:$F$69,3,FALSE),0),0)</f>
        <v>1950</v>
      </c>
      <c r="CB12" s="4">
        <f>IF(BQ12=1,((AJ12+(IF(R12="IN-07",'Assumptions &amp; Inputs'!$D$65,AG12))*AM12)*AS12)+AX12+(((AJ12+(IF(R12="IN-07",'Assumptions &amp; Inputs'!$D$65,AG12))*AM12)*AS12)*AZ12)+IF(BD12="Yes",(((AJ12+(IF(R12="IN-07",'Assumptions &amp; Inputs'!$D$65,AG12))*AM12)*AS12)+AX12)*VLOOKUP("IN-34",'Assumptions &amp; Inputs'!$A$31:$F$69,4,FALSE),0),0)</f>
        <v>2650</v>
      </c>
      <c r="CC12" s="4">
        <f>IF(BQ12=1,((AK12+(IF(R12="IN-07",'Assumptions &amp; Inputs'!$E$65,AH12))*AN12)*AS12)+AY12+(((AK12+(IF(R12="IN-07",'Assumptions &amp; Inputs'!$E$65,AH12))*AN12)*AS12)*AZ12)+IF(BD12="Yes",(((AK12+(IF(R12="IN-07",'Assumptions &amp; Inputs'!$E$65,AH12))*AN12)*AS12)+AY12)*VLOOKUP("IN-34",'Assumptions &amp; Inputs'!$A$31:$F$69,5,FALSE),0),0)</f>
        <v>8400</v>
      </c>
      <c r="CD12" s="4">
        <f>IF(BR12=1,((AI12+(IF(R12="IN-07",'Assumptions &amp; Inputs'!$C$65,AF12))*AL12)*AS12)+AW12+(((AI12+(IF(R12="IN-07",'Assumptions &amp; Inputs'!$C$65,AF12))*AL12)*AS12)*AZ12)+IF(BD12="Yes",(((AI12+(IF(R12="IN-07",'Assumptions &amp; Inputs'!$C$65,AF12))*AL12)*AS12)+AW12)*VLOOKUP("IN-34",'Assumptions &amp; Inputs'!$A$31:$F$69,3,FALSE),0),0)</f>
        <v>1950</v>
      </c>
      <c r="CE12" s="4">
        <f>IF(BR12=1,((AJ12+(IF(R12="IN-07",'Assumptions &amp; Inputs'!$D$65,AG12))*AM12)*AS12)+AX12+(((AJ12+(IF(R12="IN-07",'Assumptions &amp; Inputs'!$D$65,AG12))*AM12)*AS12)*AZ12)+IF(BD12="Yes",(((AJ12+(IF(R12="IN-07",'Assumptions &amp; Inputs'!$D$65,AG12))*AM12)*AS12)+AX12)*VLOOKUP("IN-34",'Assumptions &amp; Inputs'!$A$31:$F$69,4,FALSE),0),0)</f>
        <v>2650</v>
      </c>
      <c r="CF12" s="4">
        <f>IF(BR12=1,((AK12+(IF(R12="IN-07",'Assumptions &amp; Inputs'!$E$65,AH12))*AN12)*AS12)+AY12+(((AK12+(IF(R12="IN-07",'Assumptions &amp; Inputs'!$E$65,AH12))*AN12)*AS12)*AZ12)+IF(BD12="Yes",(((AK12+(IF(R12="IN-07",'Assumptions &amp; Inputs'!$E$65,AH12))*AN12)*AS12)+AY12)*VLOOKUP("IN-34",'Assumptions &amp; Inputs'!$A$31:$F$69,5,FALSE),0),0)</f>
        <v>8400</v>
      </c>
      <c r="CG12" s="4">
        <f>IF(BS12=1,((AI12+(IF(R12="IN-07",0,AF12))*AL12)*AS12)+AW12+(((AI12+(IF(R12="IN-07",0,AF12))*AL12)*AS12)*AZ12)+IF(BD12="Yes",(((AI12+(IF(R12="IN-07",0,AF12))*AL12)*AS12)+AW12)*VLOOKUP("IN-34",'Assumptions &amp; Inputs'!$A$31:$F$69,3,FALSE),0),0)</f>
        <v>1950</v>
      </c>
      <c r="CH12" s="4">
        <f>IF(BS12=1,((AJ12+(IF(R12="IN-07",0,AG12))*AM12)*AS12)+AX12+(((AJ12+(IF(R12="IN-07",0,AG12))*AM12)*AS12)*AZ12)+IF(BD12="Yes",(((AJ12+(IF(R12="IN-07",0,AG12))*AM12)*AS12)+AX12)*VLOOKUP("IN-34",'Assumptions &amp; Inputs'!$A$31:$F$69,4,FALSE),0),0)</f>
        <v>2650</v>
      </c>
      <c r="CI12" s="4">
        <f>IF(BS12=1,((AK12+(IF(R12="IN-07",0,AH12))*AN12)*AS12)+AY12+(((AK12+(IF(R12="IN-07",0,AH12))*AN12)*AS12)*AZ12)+IF(BD12="Yes",(((AK12+(IF(R12="IN-07",0,AH12))*AN12)*AS12)+AY12)*VLOOKUP("IN-34",'Assumptions &amp; Inputs'!$A$31:$F$69,5,FALSE),0),0)</f>
        <v>8400</v>
      </c>
      <c r="CJ12" s="4">
        <f>IF(BT12=1,((AI12+(IF(R12="IN-07",0,AF12))*AL12)*AS12)+AW12+(((AI12+(IF(R12="IN-07",0,AF12))*AL12)*AS12)*AZ12)+IF(BD12="Yes",(((AI12+(IF(R12="IN-07",0,AF12))*AL12)*AS12)+AW12)*VLOOKUP("IN-34",'Assumptions &amp; Inputs'!$A$31:$F$69,3,FALSE),0),0)</f>
        <v>1950</v>
      </c>
      <c r="CK12" s="4">
        <f>IF(BT12=1,((AJ12+(IF(R12="IN-07",0,AG12))*AM12)*AS12)+AX12+(((AJ12+(IF(R12="IN-07",0,AG12))*AM12)*AS12)*AZ12)+IF(BD12="Yes",(((AJ12+(IF(R12="IN-07",0,AG12))*AM12)*AS12)+AX12)*VLOOKUP("IN-34",'Assumptions &amp; Inputs'!$A$31:$F$69,4,FALSE),0),0)</f>
        <v>2650</v>
      </c>
      <c r="CL12" s="4">
        <f>IF(BT12=1,((AK12+(IF(R12="IN-07",0,AH12))*AN12)*AS12)+AY12+(((AK12+(IF(R12="IN-07",0,AH12))*AN12)*AS12)*AZ12)+IF(BD12="Yes",(((AK12+(IF(R12="IN-07",0,AH12))*AN12)*AS12)+AY12)*VLOOKUP("IN-34",'Assumptions &amp; Inputs'!$A$31:$F$69,5,FALSE),0),0)</f>
        <v>8400</v>
      </c>
    </row>
    <row r="13" spans="1:90" ht="43.5" x14ac:dyDescent="0.35">
      <c r="A13" s="50" t="s">
        <v>651</v>
      </c>
      <c r="B13" s="50" t="s">
        <v>178</v>
      </c>
      <c r="C13" s="50" t="s">
        <v>47</v>
      </c>
      <c r="D13" s="50" t="s">
        <v>54</v>
      </c>
      <c r="E13" s="50" t="s">
        <v>652</v>
      </c>
      <c r="F13" s="50" t="s">
        <v>653</v>
      </c>
      <c r="G13" s="50" t="s">
        <v>654</v>
      </c>
      <c r="H13" s="50" t="s">
        <v>655</v>
      </c>
      <c r="I13" s="50" t="s">
        <v>158</v>
      </c>
      <c r="J13" s="50" t="s">
        <v>642</v>
      </c>
      <c r="K13" s="50" t="s">
        <v>656</v>
      </c>
      <c r="L13" s="50" t="s">
        <v>158</v>
      </c>
      <c r="M13" s="50" t="s">
        <v>532</v>
      </c>
      <c r="N13" s="50" t="s">
        <v>156</v>
      </c>
      <c r="O13" s="50" t="s">
        <v>533</v>
      </c>
      <c r="P13" s="50" t="s">
        <v>657</v>
      </c>
      <c r="Q13" s="50" t="s">
        <v>658</v>
      </c>
      <c r="R13" s="50" t="s">
        <v>332</v>
      </c>
      <c r="S13" s="50" t="s">
        <v>614</v>
      </c>
      <c r="T13" s="50" t="s">
        <v>659</v>
      </c>
      <c r="U13" s="50" t="s">
        <v>660</v>
      </c>
      <c r="V13" s="50" t="s">
        <v>539</v>
      </c>
      <c r="W13" s="50" t="s">
        <v>540</v>
      </c>
      <c r="X13" s="50" t="s">
        <v>647</v>
      </c>
      <c r="Y13" s="50" t="s">
        <v>171</v>
      </c>
      <c r="Z13" s="50" t="s">
        <v>543</v>
      </c>
      <c r="AA13" s="50" t="s">
        <v>648</v>
      </c>
      <c r="AB13" s="50" t="s">
        <v>545</v>
      </c>
      <c r="AC13" s="50" t="s">
        <v>661</v>
      </c>
      <c r="AD13" s="50" t="s">
        <v>662</v>
      </c>
      <c r="AE13" s="16">
        <f>IF(ISNUMBER(SEARCH('Scenario Definitions'!$C$5,N13)),1,0)</f>
        <v>1</v>
      </c>
      <c r="AF13" s="16">
        <f>IFERROR(VLOOKUP(R13,'Assumptions &amp; Inputs'!$A$31:$F$69,3,FALSE),0)</f>
        <v>1</v>
      </c>
      <c r="AG13" s="16">
        <f>IFERROR(VLOOKUP(R13,'Assumptions &amp; Inputs'!$A$31:$F$69,4,FALSE),0)</f>
        <v>1</v>
      </c>
      <c r="AH13" s="17">
        <f>IFERROR(VLOOKUP(R13,'Assumptions &amp; Inputs'!$A$31:$F$69,5,FALSE),0)</f>
        <v>1</v>
      </c>
      <c r="AI13" s="11">
        <v>0</v>
      </c>
      <c r="AJ13" s="11">
        <v>0</v>
      </c>
      <c r="AK13" s="11">
        <v>0</v>
      </c>
      <c r="AL13" s="11">
        <v>12</v>
      </c>
      <c r="AM13" s="11">
        <v>16</v>
      </c>
      <c r="AN13" s="11">
        <v>24</v>
      </c>
      <c r="AO13" s="36">
        <f t="shared" si="0"/>
        <v>12</v>
      </c>
      <c r="AP13" s="16">
        <f t="shared" si="1"/>
        <v>16</v>
      </c>
      <c r="AQ13" s="17">
        <f t="shared" si="2"/>
        <v>24</v>
      </c>
      <c r="AR13" s="58" t="s">
        <v>406</v>
      </c>
      <c r="AS13" s="32">
        <f>IFERROR(VLOOKUP(AR13,'Assumptions &amp; Inputs'!$A$73:$I$100,9,FALSE),0)</f>
        <v>125</v>
      </c>
      <c r="AT13" s="24">
        <f t="shared" si="3"/>
        <v>1500</v>
      </c>
      <c r="AU13" s="24">
        <f t="shared" si="4"/>
        <v>2000</v>
      </c>
      <c r="AV13" s="25">
        <f t="shared" si="5"/>
        <v>3000</v>
      </c>
      <c r="AW13" s="57">
        <v>0</v>
      </c>
      <c r="AX13" s="57">
        <v>0</v>
      </c>
      <c r="AY13" s="57">
        <v>0</v>
      </c>
      <c r="AZ13" s="32">
        <f>IFERROR(VLOOKUP(C13,'Assumptions &amp; Inputs'!$A$104:$B$107,2,FALSE),0)</f>
        <v>0.25</v>
      </c>
      <c r="BA13" s="24">
        <f t="shared" si="6"/>
        <v>375</v>
      </c>
      <c r="BB13" s="24">
        <f t="shared" si="7"/>
        <v>500</v>
      </c>
      <c r="BC13" s="25">
        <f t="shared" si="8"/>
        <v>750</v>
      </c>
      <c r="BD13" s="57" t="s">
        <v>209</v>
      </c>
      <c r="BE13" s="32">
        <f>IF(BD13="Yes",(AT13+AW13)*VLOOKUP("IN-34",'Assumptions &amp; Inputs'!$A$31:$F$69,3,FALSE),0)</f>
        <v>75</v>
      </c>
      <c r="BF13" s="24">
        <f>IF(BD13="Yes",(AU13+AX13)*VLOOKUP("IN-34",'Assumptions &amp; Inputs'!$A$31:$F$69,4,FALSE),0)</f>
        <v>150</v>
      </c>
      <c r="BG13" s="24">
        <f>IF(BD13="Yes",(AV13+AY13)*VLOOKUP("IN-34",'Assumptions &amp; Inputs'!$A$31:$F$69,5,FALSE),0)</f>
        <v>450</v>
      </c>
      <c r="BH13" s="24">
        <f t="shared" si="9"/>
        <v>1950</v>
      </c>
      <c r="BI13" s="24">
        <f t="shared" si="10"/>
        <v>2650</v>
      </c>
      <c r="BJ13" s="25">
        <f t="shared" si="11"/>
        <v>4200</v>
      </c>
      <c r="BK13" s="58" t="s">
        <v>548</v>
      </c>
      <c r="BL13" s="58" t="s">
        <v>549</v>
      </c>
      <c r="BM13" s="58" t="s">
        <v>648</v>
      </c>
      <c r="BN13" s="58" t="s">
        <v>550</v>
      </c>
      <c r="BO13" s="5">
        <f t="shared" si="12"/>
        <v>1</v>
      </c>
      <c r="BP13" s="5">
        <f t="shared" si="13"/>
        <v>1</v>
      </c>
      <c r="BQ13" s="5">
        <f t="shared" si="14"/>
        <v>1</v>
      </c>
      <c r="BR13" s="5">
        <f t="shared" si="15"/>
        <v>1</v>
      </c>
      <c r="BS13" s="5">
        <f t="shared" si="16"/>
        <v>1</v>
      </c>
      <c r="BT13" s="5">
        <f t="shared" si="17"/>
        <v>1</v>
      </c>
      <c r="BU13" s="4">
        <f>IF(BO13=1,((AI13+(IF(R13="IN-07",'Assumptions &amp; Inputs'!$C$66,AF13))*AL13)*AS13)+AW13+(((AI13+(IF(R13="IN-07",'Assumptions &amp; Inputs'!$C$66,AF13))*AL13)*AS13)*AZ13)+IF(BD13="Yes",(((AI13+(IF(R13="IN-07",'Assumptions &amp; Inputs'!$C$66,AF13))*AL13)*AS13)+AW13)*VLOOKUP("IN-34",'Assumptions &amp; Inputs'!$A$31:$F$69,3,FALSE),0),0)</f>
        <v>1950</v>
      </c>
      <c r="BV13" s="4">
        <f>IF(BO13=1,((AJ13+(IF(R13="IN-07",'Assumptions &amp; Inputs'!$D$66,AG13))*AM13)*AS13)+AX13+(((AJ13+(IF(R13="IN-07",'Assumptions &amp; Inputs'!$D$66,AG13))*AM13)*AS13)*AZ13)+IF(BD13="Yes",(((AJ13+(IF(R13="IN-07",'Assumptions &amp; Inputs'!$D$66,AG13))*AM13)*AS13)+AX13)*VLOOKUP("IN-34",'Assumptions &amp; Inputs'!$A$31:$F$69,4,FALSE),0),0)</f>
        <v>2650</v>
      </c>
      <c r="BW13" s="4">
        <f>IF(BO13=1,((AK13+(IF(R13="IN-07",'Assumptions &amp; Inputs'!$E$66,AH13))*AN13)*AS13)+AY13+(((AK13+(IF(R13="IN-07",'Assumptions &amp; Inputs'!$E$66,AH13))*AN13)*AS13)*AZ13)+IF(BD13="Yes",(((AK13+(IF(R13="IN-07",'Assumptions &amp; Inputs'!$E$66,AH13))*AN13)*AS13)+AY13)*VLOOKUP("IN-34",'Assumptions &amp; Inputs'!$A$31:$F$69,5,FALSE),0),0)</f>
        <v>4200</v>
      </c>
      <c r="BX13" s="4">
        <f>IF(BP13=1,((AI13+(IF(R13="IN-07",'Assumptions &amp; Inputs'!$C$66,AF13))*AL13)*AS13)+AW13+(((AI13+(IF(R13="IN-07",'Assumptions &amp; Inputs'!$C$66,AF13))*AL13)*AS13)*AZ13)+IF(BD13="Yes",(((AI13+(IF(R13="IN-07",'Assumptions &amp; Inputs'!$C$66,AF13))*AL13)*AS13)+AW13)*VLOOKUP("IN-34",'Assumptions &amp; Inputs'!$A$31:$F$69,3,FALSE),0),0)</f>
        <v>1950</v>
      </c>
      <c r="BY13" s="4">
        <f>IF(BP13=1,((AJ13+(IF(R13="IN-07",'Assumptions &amp; Inputs'!$D$66,AG13))*AM13)*AS13)+AX13+(((AJ13+(IF(R13="IN-07",'Assumptions &amp; Inputs'!$D$66,AG13))*AM13)*AS13)*AZ13)+IF(BD13="Yes",(((AJ13+(IF(R13="IN-07",'Assumptions &amp; Inputs'!$D$66,AG13))*AM13)*AS13)+AX13)*VLOOKUP("IN-34",'Assumptions &amp; Inputs'!$A$31:$F$69,4,FALSE),0),0)</f>
        <v>2650</v>
      </c>
      <c r="BZ13" s="4">
        <f>IF(BP13=1,((AK13+(IF(R13="IN-07",'Assumptions &amp; Inputs'!$E$66,AH13))*AN13)*AS13)+AY13+(((AK13+(IF(R13="IN-07",'Assumptions &amp; Inputs'!$E$66,AH13))*AN13)*AS13)*AZ13)+IF(BD13="Yes",(((AK13+(IF(R13="IN-07",'Assumptions &amp; Inputs'!$E$66,AH13))*AN13)*AS13)+AY13)*VLOOKUP("IN-34",'Assumptions &amp; Inputs'!$A$31:$F$69,5,FALSE),0),0)</f>
        <v>4200</v>
      </c>
      <c r="CA13" s="4">
        <f>IF(BQ13=1,((AI13+(IF(R13="IN-07",'Assumptions &amp; Inputs'!$C$65,AF13))*AL13)*AS13)+AW13+(((AI13+(IF(R13="IN-07",'Assumptions &amp; Inputs'!$C$65,AF13))*AL13)*AS13)*AZ13)+IF(BD13="Yes",(((AI13+(IF(R13="IN-07",'Assumptions &amp; Inputs'!$C$65,AF13))*AL13)*AS13)+AW13)*VLOOKUP("IN-34",'Assumptions &amp; Inputs'!$A$31:$F$69,3,FALSE),0),0)</f>
        <v>1950</v>
      </c>
      <c r="CB13" s="4">
        <f>IF(BQ13=1,((AJ13+(IF(R13="IN-07",'Assumptions &amp; Inputs'!$D$65,AG13))*AM13)*AS13)+AX13+(((AJ13+(IF(R13="IN-07",'Assumptions &amp; Inputs'!$D$65,AG13))*AM13)*AS13)*AZ13)+IF(BD13="Yes",(((AJ13+(IF(R13="IN-07",'Assumptions &amp; Inputs'!$D$65,AG13))*AM13)*AS13)+AX13)*VLOOKUP("IN-34",'Assumptions &amp; Inputs'!$A$31:$F$69,4,FALSE),0),0)</f>
        <v>2650</v>
      </c>
      <c r="CC13" s="4">
        <f>IF(BQ13=1,((AK13+(IF(R13="IN-07",'Assumptions &amp; Inputs'!$E$65,AH13))*AN13)*AS13)+AY13+(((AK13+(IF(R13="IN-07",'Assumptions &amp; Inputs'!$E$65,AH13))*AN13)*AS13)*AZ13)+IF(BD13="Yes",(((AK13+(IF(R13="IN-07",'Assumptions &amp; Inputs'!$E$65,AH13))*AN13)*AS13)+AY13)*VLOOKUP("IN-34",'Assumptions &amp; Inputs'!$A$31:$F$69,5,FALSE),0),0)</f>
        <v>4200</v>
      </c>
      <c r="CD13" s="4">
        <f>IF(BR13=1,((AI13+(IF(R13="IN-07",'Assumptions &amp; Inputs'!$C$65,AF13))*AL13)*AS13)+AW13+(((AI13+(IF(R13="IN-07",'Assumptions &amp; Inputs'!$C$65,AF13))*AL13)*AS13)*AZ13)+IF(BD13="Yes",(((AI13+(IF(R13="IN-07",'Assumptions &amp; Inputs'!$C$65,AF13))*AL13)*AS13)+AW13)*VLOOKUP("IN-34",'Assumptions &amp; Inputs'!$A$31:$F$69,3,FALSE),0),0)</f>
        <v>1950</v>
      </c>
      <c r="CE13" s="4">
        <f>IF(BR13=1,((AJ13+(IF(R13="IN-07",'Assumptions &amp; Inputs'!$D$65,AG13))*AM13)*AS13)+AX13+(((AJ13+(IF(R13="IN-07",'Assumptions &amp; Inputs'!$D$65,AG13))*AM13)*AS13)*AZ13)+IF(BD13="Yes",(((AJ13+(IF(R13="IN-07",'Assumptions &amp; Inputs'!$D$65,AG13))*AM13)*AS13)+AX13)*VLOOKUP("IN-34",'Assumptions &amp; Inputs'!$A$31:$F$69,4,FALSE),0),0)</f>
        <v>2650</v>
      </c>
      <c r="CF13" s="4">
        <f>IF(BR13=1,((AK13+(IF(R13="IN-07",'Assumptions &amp; Inputs'!$E$65,AH13))*AN13)*AS13)+AY13+(((AK13+(IF(R13="IN-07",'Assumptions &amp; Inputs'!$E$65,AH13))*AN13)*AS13)*AZ13)+IF(BD13="Yes",(((AK13+(IF(R13="IN-07",'Assumptions &amp; Inputs'!$E$65,AH13))*AN13)*AS13)+AY13)*VLOOKUP("IN-34",'Assumptions &amp; Inputs'!$A$31:$F$69,5,FALSE),0),0)</f>
        <v>4200</v>
      </c>
      <c r="CG13" s="4">
        <f>IF(BS13=1,((AI13+(IF(R13="IN-07",0,AF13))*AL13)*AS13)+AW13+(((AI13+(IF(R13="IN-07",0,AF13))*AL13)*AS13)*AZ13)+IF(BD13="Yes",(((AI13+(IF(R13="IN-07",0,AF13))*AL13)*AS13)+AW13)*VLOOKUP("IN-34",'Assumptions &amp; Inputs'!$A$31:$F$69,3,FALSE),0),0)</f>
        <v>1950</v>
      </c>
      <c r="CH13" s="4">
        <f>IF(BS13=1,((AJ13+(IF(R13="IN-07",0,AG13))*AM13)*AS13)+AX13+(((AJ13+(IF(R13="IN-07",0,AG13))*AM13)*AS13)*AZ13)+IF(BD13="Yes",(((AJ13+(IF(R13="IN-07",0,AG13))*AM13)*AS13)+AX13)*VLOOKUP("IN-34",'Assumptions &amp; Inputs'!$A$31:$F$69,4,FALSE),0),0)</f>
        <v>2650</v>
      </c>
      <c r="CI13" s="4">
        <f>IF(BS13=1,((AK13+(IF(R13="IN-07",0,AH13))*AN13)*AS13)+AY13+(((AK13+(IF(R13="IN-07",0,AH13))*AN13)*AS13)*AZ13)+IF(BD13="Yes",(((AK13+(IF(R13="IN-07",0,AH13))*AN13)*AS13)+AY13)*VLOOKUP("IN-34",'Assumptions &amp; Inputs'!$A$31:$F$69,5,FALSE),0),0)</f>
        <v>4200</v>
      </c>
      <c r="CJ13" s="4">
        <f>IF(BT13=1,((AI13+(IF(R13="IN-07",0,AF13))*AL13)*AS13)+AW13+(((AI13+(IF(R13="IN-07",0,AF13))*AL13)*AS13)*AZ13)+IF(BD13="Yes",(((AI13+(IF(R13="IN-07",0,AF13))*AL13)*AS13)+AW13)*VLOOKUP("IN-34",'Assumptions &amp; Inputs'!$A$31:$F$69,3,FALSE),0),0)</f>
        <v>1950</v>
      </c>
      <c r="CK13" s="4">
        <f>IF(BT13=1,((AJ13+(IF(R13="IN-07",0,AG13))*AM13)*AS13)+AX13+(((AJ13+(IF(R13="IN-07",0,AG13))*AM13)*AS13)*AZ13)+IF(BD13="Yes",(((AJ13+(IF(R13="IN-07",0,AG13))*AM13)*AS13)+AX13)*VLOOKUP("IN-34",'Assumptions &amp; Inputs'!$A$31:$F$69,4,FALSE),0),0)</f>
        <v>2650</v>
      </c>
      <c r="CL13" s="4">
        <f>IF(BT13=1,((AK13+(IF(R13="IN-07",0,AH13))*AN13)*AS13)+AY13+(((AK13+(IF(R13="IN-07",0,AH13))*AN13)*AS13)*AZ13)+IF(BD13="Yes",(((AK13+(IF(R13="IN-07",0,AH13))*AN13)*AS13)+AY13)*VLOOKUP("IN-34",'Assumptions &amp; Inputs'!$A$31:$F$69,5,FALSE),0),0)</f>
        <v>4200</v>
      </c>
    </row>
    <row r="14" spans="1:90" ht="43.5" x14ac:dyDescent="0.35">
      <c r="A14" s="50" t="s">
        <v>663</v>
      </c>
      <c r="B14" s="50" t="s">
        <v>178</v>
      </c>
      <c r="C14" s="50" t="s">
        <v>47</v>
      </c>
      <c r="D14" s="50" t="s">
        <v>54</v>
      </c>
      <c r="E14" s="50" t="s">
        <v>664</v>
      </c>
      <c r="F14" s="50" t="s">
        <v>665</v>
      </c>
      <c r="G14" s="50" t="s">
        <v>666</v>
      </c>
      <c r="H14" s="50" t="s">
        <v>667</v>
      </c>
      <c r="I14" s="50" t="s">
        <v>158</v>
      </c>
      <c r="J14" s="50" t="s">
        <v>668</v>
      </c>
      <c r="K14" s="50" t="s">
        <v>669</v>
      </c>
      <c r="L14" s="50" t="s">
        <v>158</v>
      </c>
      <c r="M14" s="50" t="s">
        <v>532</v>
      </c>
      <c r="N14" s="50" t="s">
        <v>670</v>
      </c>
      <c r="O14" s="50" t="s">
        <v>671</v>
      </c>
      <c r="P14" s="50" t="s">
        <v>657</v>
      </c>
      <c r="Q14" s="50" t="s">
        <v>672</v>
      </c>
      <c r="R14" s="50" t="s">
        <v>335</v>
      </c>
      <c r="S14" s="50" t="s">
        <v>536</v>
      </c>
      <c r="T14" s="50" t="s">
        <v>673</v>
      </c>
      <c r="U14" s="50" t="s">
        <v>674</v>
      </c>
      <c r="V14" s="50" t="s">
        <v>539</v>
      </c>
      <c r="W14" s="50" t="s">
        <v>540</v>
      </c>
      <c r="X14" s="50" t="s">
        <v>647</v>
      </c>
      <c r="Y14" s="50" t="s">
        <v>171</v>
      </c>
      <c r="Z14" s="50" t="s">
        <v>543</v>
      </c>
      <c r="AA14" s="50" t="s">
        <v>648</v>
      </c>
      <c r="AB14" s="50" t="s">
        <v>36</v>
      </c>
      <c r="AC14" s="50" t="s">
        <v>675</v>
      </c>
      <c r="AD14" s="50" t="s">
        <v>676</v>
      </c>
      <c r="AE14" s="16">
        <f>IF(ISNUMBER(SEARCH('Scenario Definitions'!$C$5,N14)),1,0)</f>
        <v>0</v>
      </c>
      <c r="AF14" s="16">
        <f>IFERROR(VLOOKUP(R14,'Assumptions &amp; Inputs'!$A$31:$F$69,3,FALSE),0)</f>
        <v>1</v>
      </c>
      <c r="AG14" s="16">
        <f>IFERROR(VLOOKUP(R14,'Assumptions &amp; Inputs'!$A$31:$F$69,4,FALSE),0)</f>
        <v>1</v>
      </c>
      <c r="AH14" s="17">
        <f>IFERROR(VLOOKUP(R14,'Assumptions &amp; Inputs'!$A$31:$F$69,5,FALSE),0)</f>
        <v>1</v>
      </c>
      <c r="AI14" s="11">
        <v>64.8</v>
      </c>
      <c r="AJ14" s="11">
        <v>86.4</v>
      </c>
      <c r="AK14" s="11">
        <v>129.6</v>
      </c>
      <c r="AL14" s="11">
        <v>0</v>
      </c>
      <c r="AM14" s="11">
        <v>0</v>
      </c>
      <c r="AN14" s="11">
        <v>0</v>
      </c>
      <c r="AO14" s="36">
        <f t="shared" si="0"/>
        <v>64.8</v>
      </c>
      <c r="AP14" s="16">
        <f t="shared" si="1"/>
        <v>86.4</v>
      </c>
      <c r="AQ14" s="17">
        <f t="shared" si="2"/>
        <v>129.6</v>
      </c>
      <c r="AR14" s="58" t="s">
        <v>406</v>
      </c>
      <c r="AS14" s="32">
        <f>IFERROR(VLOOKUP(AR14,'Assumptions &amp; Inputs'!$A$73:$I$100,9,FALSE),0)</f>
        <v>125</v>
      </c>
      <c r="AT14" s="24">
        <f t="shared" si="3"/>
        <v>8100</v>
      </c>
      <c r="AU14" s="24">
        <f t="shared" si="4"/>
        <v>10800</v>
      </c>
      <c r="AV14" s="25">
        <f t="shared" si="5"/>
        <v>16200</v>
      </c>
      <c r="AW14" s="57">
        <v>0</v>
      </c>
      <c r="AX14" s="57">
        <v>0</v>
      </c>
      <c r="AY14" s="57">
        <v>0</v>
      </c>
      <c r="AZ14" s="32">
        <f>IFERROR(VLOOKUP(C14,'Assumptions &amp; Inputs'!$A$104:$B$107,2,FALSE),0)</f>
        <v>0.25</v>
      </c>
      <c r="BA14" s="24">
        <f t="shared" si="6"/>
        <v>2025</v>
      </c>
      <c r="BB14" s="24">
        <f t="shared" si="7"/>
        <v>2700</v>
      </c>
      <c r="BC14" s="25">
        <f t="shared" si="8"/>
        <v>4050</v>
      </c>
      <c r="BD14" s="57" t="s">
        <v>209</v>
      </c>
      <c r="BE14" s="32">
        <f>IF(BD14="Yes",(AT14+AW14)*VLOOKUP("IN-34",'Assumptions &amp; Inputs'!$A$31:$F$69,3,FALSE),0)</f>
        <v>405</v>
      </c>
      <c r="BF14" s="24">
        <f>IF(BD14="Yes",(AU14+AX14)*VLOOKUP("IN-34",'Assumptions &amp; Inputs'!$A$31:$F$69,4,FALSE),0)</f>
        <v>810</v>
      </c>
      <c r="BG14" s="24">
        <f>IF(BD14="Yes",(AV14+AY14)*VLOOKUP("IN-34",'Assumptions &amp; Inputs'!$A$31:$F$69,5,FALSE),0)</f>
        <v>2430</v>
      </c>
      <c r="BH14" s="24">
        <f t="shared" si="9"/>
        <v>10530</v>
      </c>
      <c r="BI14" s="24">
        <f t="shared" si="10"/>
        <v>14310</v>
      </c>
      <c r="BJ14" s="25">
        <f t="shared" si="11"/>
        <v>22680</v>
      </c>
      <c r="BK14" s="58" t="s">
        <v>548</v>
      </c>
      <c r="BL14" s="58" t="s">
        <v>549</v>
      </c>
      <c r="BM14" s="58" t="s">
        <v>648</v>
      </c>
      <c r="BN14" s="58" t="s">
        <v>550</v>
      </c>
      <c r="BO14" s="5">
        <f t="shared" si="12"/>
        <v>0</v>
      </c>
      <c r="BP14" s="5">
        <f t="shared" si="13"/>
        <v>1</v>
      </c>
      <c r="BQ14" s="5">
        <f t="shared" si="14"/>
        <v>0</v>
      </c>
      <c r="BR14" s="5">
        <f t="shared" si="15"/>
        <v>1</v>
      </c>
      <c r="BS14" s="5">
        <f t="shared" si="16"/>
        <v>0</v>
      </c>
      <c r="BT14" s="5">
        <f t="shared" si="17"/>
        <v>1</v>
      </c>
      <c r="BU14" s="4">
        <f>IF(BO14=1,((AI14+(IF(R14="IN-07",'Assumptions &amp; Inputs'!$C$66,AF14))*AL14)*AS14)+AW14+(((AI14+(IF(R14="IN-07",'Assumptions &amp; Inputs'!$C$66,AF14))*AL14)*AS14)*AZ14)+IF(BD14="Yes",(((AI14+(IF(R14="IN-07",'Assumptions &amp; Inputs'!$C$66,AF14))*AL14)*AS14)+AW14)*VLOOKUP("IN-34",'Assumptions &amp; Inputs'!$A$31:$F$69,3,FALSE),0),0)</f>
        <v>0</v>
      </c>
      <c r="BV14" s="4">
        <f>IF(BO14=1,((AJ14+(IF(R14="IN-07",'Assumptions &amp; Inputs'!$D$66,AG14))*AM14)*AS14)+AX14+(((AJ14+(IF(R14="IN-07",'Assumptions &amp; Inputs'!$D$66,AG14))*AM14)*AS14)*AZ14)+IF(BD14="Yes",(((AJ14+(IF(R14="IN-07",'Assumptions &amp; Inputs'!$D$66,AG14))*AM14)*AS14)+AX14)*VLOOKUP("IN-34",'Assumptions &amp; Inputs'!$A$31:$F$69,4,FALSE),0),0)</f>
        <v>0</v>
      </c>
      <c r="BW14" s="4">
        <f>IF(BO14=1,((AK14+(IF(R14="IN-07",'Assumptions &amp; Inputs'!$E$66,AH14))*AN14)*AS14)+AY14+(((AK14+(IF(R14="IN-07",'Assumptions &amp; Inputs'!$E$66,AH14))*AN14)*AS14)*AZ14)+IF(BD14="Yes",(((AK14+(IF(R14="IN-07",'Assumptions &amp; Inputs'!$E$66,AH14))*AN14)*AS14)+AY14)*VLOOKUP("IN-34",'Assumptions &amp; Inputs'!$A$31:$F$69,5,FALSE),0),0)</f>
        <v>0</v>
      </c>
      <c r="BX14" s="4">
        <f>IF(BP14=1,((AI14+(IF(R14="IN-07",'Assumptions &amp; Inputs'!$C$66,AF14))*AL14)*AS14)+AW14+(((AI14+(IF(R14="IN-07",'Assumptions &amp; Inputs'!$C$66,AF14))*AL14)*AS14)*AZ14)+IF(BD14="Yes",(((AI14+(IF(R14="IN-07",'Assumptions &amp; Inputs'!$C$66,AF14))*AL14)*AS14)+AW14)*VLOOKUP("IN-34",'Assumptions &amp; Inputs'!$A$31:$F$69,3,FALSE),0),0)</f>
        <v>10530</v>
      </c>
      <c r="BY14" s="4">
        <f>IF(BP14=1,((AJ14+(IF(R14="IN-07",'Assumptions &amp; Inputs'!$D$66,AG14))*AM14)*AS14)+AX14+(((AJ14+(IF(R14="IN-07",'Assumptions &amp; Inputs'!$D$66,AG14))*AM14)*AS14)*AZ14)+IF(BD14="Yes",(((AJ14+(IF(R14="IN-07",'Assumptions &amp; Inputs'!$D$66,AG14))*AM14)*AS14)+AX14)*VLOOKUP("IN-34",'Assumptions &amp; Inputs'!$A$31:$F$69,4,FALSE),0),0)</f>
        <v>14310</v>
      </c>
      <c r="BZ14" s="4">
        <f>IF(BP14=1,((AK14+(IF(R14="IN-07",'Assumptions &amp; Inputs'!$E$66,AH14))*AN14)*AS14)+AY14+(((AK14+(IF(R14="IN-07",'Assumptions &amp; Inputs'!$E$66,AH14))*AN14)*AS14)*AZ14)+IF(BD14="Yes",(((AK14+(IF(R14="IN-07",'Assumptions &amp; Inputs'!$E$66,AH14))*AN14)*AS14)+AY14)*VLOOKUP("IN-34",'Assumptions &amp; Inputs'!$A$31:$F$69,5,FALSE),0),0)</f>
        <v>22680</v>
      </c>
      <c r="CA14" s="4">
        <f>IF(BQ14=1,((AI14+(IF(R14="IN-07",'Assumptions &amp; Inputs'!$C$65,AF14))*AL14)*AS14)+AW14+(((AI14+(IF(R14="IN-07",'Assumptions &amp; Inputs'!$C$65,AF14))*AL14)*AS14)*AZ14)+IF(BD14="Yes",(((AI14+(IF(R14="IN-07",'Assumptions &amp; Inputs'!$C$65,AF14))*AL14)*AS14)+AW14)*VLOOKUP("IN-34",'Assumptions &amp; Inputs'!$A$31:$F$69,3,FALSE),0),0)</f>
        <v>0</v>
      </c>
      <c r="CB14" s="4">
        <f>IF(BQ14=1,((AJ14+(IF(R14="IN-07",'Assumptions &amp; Inputs'!$D$65,AG14))*AM14)*AS14)+AX14+(((AJ14+(IF(R14="IN-07",'Assumptions &amp; Inputs'!$D$65,AG14))*AM14)*AS14)*AZ14)+IF(BD14="Yes",(((AJ14+(IF(R14="IN-07",'Assumptions &amp; Inputs'!$D$65,AG14))*AM14)*AS14)+AX14)*VLOOKUP("IN-34",'Assumptions &amp; Inputs'!$A$31:$F$69,4,FALSE),0),0)</f>
        <v>0</v>
      </c>
      <c r="CC14" s="4">
        <f>IF(BQ14=1,((AK14+(IF(R14="IN-07",'Assumptions &amp; Inputs'!$E$65,AH14))*AN14)*AS14)+AY14+(((AK14+(IF(R14="IN-07",'Assumptions &amp; Inputs'!$E$65,AH14))*AN14)*AS14)*AZ14)+IF(BD14="Yes",(((AK14+(IF(R14="IN-07",'Assumptions &amp; Inputs'!$E$65,AH14))*AN14)*AS14)+AY14)*VLOOKUP("IN-34",'Assumptions &amp; Inputs'!$A$31:$F$69,5,FALSE),0),0)</f>
        <v>0</v>
      </c>
      <c r="CD14" s="4">
        <f>IF(BR14=1,((AI14+(IF(R14="IN-07",'Assumptions &amp; Inputs'!$C$65,AF14))*AL14)*AS14)+AW14+(((AI14+(IF(R14="IN-07",'Assumptions &amp; Inputs'!$C$65,AF14))*AL14)*AS14)*AZ14)+IF(BD14="Yes",(((AI14+(IF(R14="IN-07",'Assumptions &amp; Inputs'!$C$65,AF14))*AL14)*AS14)+AW14)*VLOOKUP("IN-34",'Assumptions &amp; Inputs'!$A$31:$F$69,3,FALSE),0),0)</f>
        <v>10530</v>
      </c>
      <c r="CE14" s="4">
        <f>IF(BR14=1,((AJ14+(IF(R14="IN-07",'Assumptions &amp; Inputs'!$D$65,AG14))*AM14)*AS14)+AX14+(((AJ14+(IF(R14="IN-07",'Assumptions &amp; Inputs'!$D$65,AG14))*AM14)*AS14)*AZ14)+IF(BD14="Yes",(((AJ14+(IF(R14="IN-07",'Assumptions &amp; Inputs'!$D$65,AG14))*AM14)*AS14)+AX14)*VLOOKUP("IN-34",'Assumptions &amp; Inputs'!$A$31:$F$69,4,FALSE),0),0)</f>
        <v>14310</v>
      </c>
      <c r="CF14" s="4">
        <f>IF(BR14=1,((AK14+(IF(R14="IN-07",'Assumptions &amp; Inputs'!$E$65,AH14))*AN14)*AS14)+AY14+(((AK14+(IF(R14="IN-07",'Assumptions &amp; Inputs'!$E$65,AH14))*AN14)*AS14)*AZ14)+IF(BD14="Yes",(((AK14+(IF(R14="IN-07",'Assumptions &amp; Inputs'!$E$65,AH14))*AN14)*AS14)+AY14)*VLOOKUP("IN-34",'Assumptions &amp; Inputs'!$A$31:$F$69,5,FALSE),0),0)</f>
        <v>22680</v>
      </c>
      <c r="CG14" s="4">
        <f>IF(BS14=1,((AI14+(IF(R14="IN-07",0,AF14))*AL14)*AS14)+AW14+(((AI14+(IF(R14="IN-07",0,AF14))*AL14)*AS14)*AZ14)+IF(BD14="Yes",(((AI14+(IF(R14="IN-07",0,AF14))*AL14)*AS14)+AW14)*VLOOKUP("IN-34",'Assumptions &amp; Inputs'!$A$31:$F$69,3,FALSE),0),0)</f>
        <v>0</v>
      </c>
      <c r="CH14" s="4">
        <f>IF(BS14=1,((AJ14+(IF(R14="IN-07",0,AG14))*AM14)*AS14)+AX14+(((AJ14+(IF(R14="IN-07",0,AG14))*AM14)*AS14)*AZ14)+IF(BD14="Yes",(((AJ14+(IF(R14="IN-07",0,AG14))*AM14)*AS14)+AX14)*VLOOKUP("IN-34",'Assumptions &amp; Inputs'!$A$31:$F$69,4,FALSE),0),0)</f>
        <v>0</v>
      </c>
      <c r="CI14" s="4">
        <f>IF(BS14=1,((AK14+(IF(R14="IN-07",0,AH14))*AN14)*AS14)+AY14+(((AK14+(IF(R14="IN-07",0,AH14))*AN14)*AS14)*AZ14)+IF(BD14="Yes",(((AK14+(IF(R14="IN-07",0,AH14))*AN14)*AS14)+AY14)*VLOOKUP("IN-34",'Assumptions &amp; Inputs'!$A$31:$F$69,5,FALSE),0),0)</f>
        <v>0</v>
      </c>
      <c r="CJ14" s="4">
        <f>IF(BT14=1,((AI14+(IF(R14="IN-07",0,AF14))*AL14)*AS14)+AW14+(((AI14+(IF(R14="IN-07",0,AF14))*AL14)*AS14)*AZ14)+IF(BD14="Yes",(((AI14+(IF(R14="IN-07",0,AF14))*AL14)*AS14)+AW14)*VLOOKUP("IN-34",'Assumptions &amp; Inputs'!$A$31:$F$69,3,FALSE),0),0)</f>
        <v>10530</v>
      </c>
      <c r="CK14" s="4">
        <f>IF(BT14=1,((AJ14+(IF(R14="IN-07",0,AG14))*AM14)*AS14)+AX14+(((AJ14+(IF(R14="IN-07",0,AG14))*AM14)*AS14)*AZ14)+IF(BD14="Yes",(((AJ14+(IF(R14="IN-07",0,AG14))*AM14)*AS14)+AX14)*VLOOKUP("IN-34",'Assumptions &amp; Inputs'!$A$31:$F$69,4,FALSE),0),0)</f>
        <v>14310</v>
      </c>
      <c r="CL14" s="4">
        <f>IF(BT14=1,((AK14+(IF(R14="IN-07",0,AH14))*AN14)*AS14)+AY14+(((AK14+(IF(R14="IN-07",0,AH14))*AN14)*AS14)*AZ14)+IF(BD14="Yes",(((AK14+(IF(R14="IN-07",0,AH14))*AN14)*AS14)+AY14)*VLOOKUP("IN-34",'Assumptions &amp; Inputs'!$A$31:$F$69,5,FALSE),0),0)</f>
        <v>22680</v>
      </c>
    </row>
    <row r="15" spans="1:90" ht="43.5" x14ac:dyDescent="0.35">
      <c r="A15" s="50" t="s">
        <v>677</v>
      </c>
      <c r="B15" s="50" t="s">
        <v>678</v>
      </c>
      <c r="C15" s="50" t="s">
        <v>47</v>
      </c>
      <c r="D15" s="50" t="s">
        <v>55</v>
      </c>
      <c r="E15" s="50" t="s">
        <v>679</v>
      </c>
      <c r="F15" s="50" t="s">
        <v>680</v>
      </c>
      <c r="G15" s="50" t="s">
        <v>681</v>
      </c>
      <c r="H15" s="50" t="s">
        <v>682</v>
      </c>
      <c r="I15" s="50" t="s">
        <v>158</v>
      </c>
      <c r="J15" s="50" t="s">
        <v>683</v>
      </c>
      <c r="K15" s="50" t="s">
        <v>684</v>
      </c>
      <c r="L15" s="50" t="s">
        <v>158</v>
      </c>
      <c r="M15" s="50" t="s">
        <v>532</v>
      </c>
      <c r="N15" s="50" t="s">
        <v>156</v>
      </c>
      <c r="O15" s="50" t="s">
        <v>533</v>
      </c>
      <c r="P15" s="50" t="s">
        <v>627</v>
      </c>
      <c r="Q15" s="50" t="s">
        <v>685</v>
      </c>
      <c r="R15" s="50" t="s">
        <v>316</v>
      </c>
      <c r="S15" s="50" t="s">
        <v>686</v>
      </c>
      <c r="T15" s="50" t="s">
        <v>687</v>
      </c>
      <c r="U15" s="50" t="s">
        <v>688</v>
      </c>
      <c r="V15" s="50" t="s">
        <v>539</v>
      </c>
      <c r="W15" s="50" t="s">
        <v>689</v>
      </c>
      <c r="X15" s="50" t="s">
        <v>690</v>
      </c>
      <c r="Y15" s="50" t="s">
        <v>691</v>
      </c>
      <c r="Z15" s="50" t="s">
        <v>601</v>
      </c>
      <c r="AA15" s="50" t="s">
        <v>692</v>
      </c>
      <c r="AB15" s="50" t="s">
        <v>36</v>
      </c>
      <c r="AC15" s="50" t="s">
        <v>693</v>
      </c>
      <c r="AD15" s="50" t="s">
        <v>694</v>
      </c>
      <c r="AE15" s="16">
        <f>IF(ISNUMBER(SEARCH('Scenario Definitions'!$C$5,N15)),1,0)</f>
        <v>1</v>
      </c>
      <c r="AF15" s="16">
        <f>IFERROR(VLOOKUP(R15,'Assumptions &amp; Inputs'!$A$31:$F$69,3,FALSE),0)</f>
        <v>1</v>
      </c>
      <c r="AG15" s="16">
        <f>IFERROR(VLOOKUP(R15,'Assumptions &amp; Inputs'!$A$31:$F$69,4,FALSE),0)</f>
        <v>1</v>
      </c>
      <c r="AH15" s="17">
        <f>IFERROR(VLOOKUP(R15,'Assumptions &amp; Inputs'!$A$31:$F$69,5,FALSE),0)</f>
        <v>1</v>
      </c>
      <c r="AI15" s="11">
        <v>0</v>
      </c>
      <c r="AJ15" s="11">
        <v>0</v>
      </c>
      <c r="AK15" s="11">
        <v>0</v>
      </c>
      <c r="AL15" s="11">
        <v>40.5</v>
      </c>
      <c r="AM15" s="11">
        <v>54</v>
      </c>
      <c r="AN15" s="11">
        <v>81</v>
      </c>
      <c r="AO15" s="36">
        <f t="shared" si="0"/>
        <v>40.5</v>
      </c>
      <c r="AP15" s="16">
        <f t="shared" si="1"/>
        <v>54</v>
      </c>
      <c r="AQ15" s="17">
        <f t="shared" si="2"/>
        <v>81</v>
      </c>
      <c r="AR15" s="58" t="s">
        <v>408</v>
      </c>
      <c r="AS15" s="32">
        <f>IFERROR(VLOOKUP(AR15,'Assumptions &amp; Inputs'!$A$73:$I$100,9,FALSE),0)</f>
        <v>135</v>
      </c>
      <c r="AT15" s="24">
        <f t="shared" si="3"/>
        <v>5467.5</v>
      </c>
      <c r="AU15" s="24">
        <f t="shared" si="4"/>
        <v>7290</v>
      </c>
      <c r="AV15" s="25">
        <f t="shared" si="5"/>
        <v>10935</v>
      </c>
      <c r="AW15" s="57">
        <v>10000</v>
      </c>
      <c r="AX15" s="57">
        <v>25000</v>
      </c>
      <c r="AY15" s="57">
        <v>60000</v>
      </c>
      <c r="AZ15" s="32">
        <f>IFERROR(VLOOKUP(C15,'Assumptions &amp; Inputs'!$A$104:$B$107,2,FALSE),0)</f>
        <v>0.25</v>
      </c>
      <c r="BA15" s="24">
        <f t="shared" si="6"/>
        <v>1366.875</v>
      </c>
      <c r="BB15" s="24">
        <f t="shared" si="7"/>
        <v>1822.5</v>
      </c>
      <c r="BC15" s="25">
        <f t="shared" si="8"/>
        <v>2733.75</v>
      </c>
      <c r="BD15" s="57" t="s">
        <v>209</v>
      </c>
      <c r="BE15" s="32">
        <f>IF(BD15="Yes",(AT15+AW15)*VLOOKUP("IN-34",'Assumptions &amp; Inputs'!$A$31:$F$69,3,FALSE),0)</f>
        <v>773.375</v>
      </c>
      <c r="BF15" s="24">
        <f>IF(BD15="Yes",(AU15+AX15)*VLOOKUP("IN-34",'Assumptions &amp; Inputs'!$A$31:$F$69,4,FALSE),0)</f>
        <v>2421.75</v>
      </c>
      <c r="BG15" s="24">
        <f>IF(BD15="Yes",(AV15+AY15)*VLOOKUP("IN-34",'Assumptions &amp; Inputs'!$A$31:$F$69,5,FALSE),0)</f>
        <v>10640.25</v>
      </c>
      <c r="BH15" s="24">
        <f t="shared" si="9"/>
        <v>17607.75</v>
      </c>
      <c r="BI15" s="24">
        <f t="shared" si="10"/>
        <v>36534.25</v>
      </c>
      <c r="BJ15" s="25">
        <f t="shared" si="11"/>
        <v>84309</v>
      </c>
      <c r="BK15" s="58" t="s">
        <v>548</v>
      </c>
      <c r="BL15" s="58" t="s">
        <v>549</v>
      </c>
      <c r="BM15" s="58" t="s">
        <v>692</v>
      </c>
      <c r="BN15" s="58" t="s">
        <v>550</v>
      </c>
      <c r="BO15" s="5">
        <f t="shared" si="12"/>
        <v>1</v>
      </c>
      <c r="BP15" s="5">
        <f t="shared" si="13"/>
        <v>1</v>
      </c>
      <c r="BQ15" s="5">
        <f t="shared" si="14"/>
        <v>1</v>
      </c>
      <c r="BR15" s="5">
        <f t="shared" si="15"/>
        <v>1</v>
      </c>
      <c r="BS15" s="5">
        <f t="shared" si="16"/>
        <v>1</v>
      </c>
      <c r="BT15" s="5">
        <f t="shared" si="17"/>
        <v>1</v>
      </c>
      <c r="BU15" s="4">
        <f>IF(BO15=1,((AI15+(IF(R15="IN-07",'Assumptions &amp; Inputs'!$C$66,AF15))*AL15)*AS15)+AW15+(((AI15+(IF(R15="IN-07",'Assumptions &amp; Inputs'!$C$66,AF15))*AL15)*AS15)*AZ15)+IF(BD15="Yes",(((AI15+(IF(R15="IN-07",'Assumptions &amp; Inputs'!$C$66,AF15))*AL15)*AS15)+AW15)*VLOOKUP("IN-34",'Assumptions &amp; Inputs'!$A$31:$F$69,3,FALSE),0),0)</f>
        <v>17607.75</v>
      </c>
      <c r="BV15" s="4">
        <f>IF(BO15=1,((AJ15+(IF(R15="IN-07",'Assumptions &amp; Inputs'!$D$66,AG15))*AM15)*AS15)+AX15+(((AJ15+(IF(R15="IN-07",'Assumptions &amp; Inputs'!$D$66,AG15))*AM15)*AS15)*AZ15)+IF(BD15="Yes",(((AJ15+(IF(R15="IN-07",'Assumptions &amp; Inputs'!$D$66,AG15))*AM15)*AS15)+AX15)*VLOOKUP("IN-34",'Assumptions &amp; Inputs'!$A$31:$F$69,4,FALSE),0),0)</f>
        <v>36534.25</v>
      </c>
      <c r="BW15" s="4">
        <f>IF(BO15=1,((AK15+(IF(R15="IN-07",'Assumptions &amp; Inputs'!$E$66,AH15))*AN15)*AS15)+AY15+(((AK15+(IF(R15="IN-07",'Assumptions &amp; Inputs'!$E$66,AH15))*AN15)*AS15)*AZ15)+IF(BD15="Yes",(((AK15+(IF(R15="IN-07",'Assumptions &amp; Inputs'!$E$66,AH15))*AN15)*AS15)+AY15)*VLOOKUP("IN-34",'Assumptions &amp; Inputs'!$A$31:$F$69,5,FALSE),0),0)</f>
        <v>84309</v>
      </c>
      <c r="BX15" s="4">
        <f>IF(BP15=1,((AI15+(IF(R15="IN-07",'Assumptions &amp; Inputs'!$C$66,AF15))*AL15)*AS15)+AW15+(((AI15+(IF(R15="IN-07",'Assumptions &amp; Inputs'!$C$66,AF15))*AL15)*AS15)*AZ15)+IF(BD15="Yes",(((AI15+(IF(R15="IN-07",'Assumptions &amp; Inputs'!$C$66,AF15))*AL15)*AS15)+AW15)*VLOOKUP("IN-34",'Assumptions &amp; Inputs'!$A$31:$F$69,3,FALSE),0),0)</f>
        <v>17607.75</v>
      </c>
      <c r="BY15" s="4">
        <f>IF(BP15=1,((AJ15+(IF(R15="IN-07",'Assumptions &amp; Inputs'!$D$66,AG15))*AM15)*AS15)+AX15+(((AJ15+(IF(R15="IN-07",'Assumptions &amp; Inputs'!$D$66,AG15))*AM15)*AS15)*AZ15)+IF(BD15="Yes",(((AJ15+(IF(R15="IN-07",'Assumptions &amp; Inputs'!$D$66,AG15))*AM15)*AS15)+AX15)*VLOOKUP("IN-34",'Assumptions &amp; Inputs'!$A$31:$F$69,4,FALSE),0),0)</f>
        <v>36534.25</v>
      </c>
      <c r="BZ15" s="4">
        <f>IF(BP15=1,((AK15+(IF(R15="IN-07",'Assumptions &amp; Inputs'!$E$66,AH15))*AN15)*AS15)+AY15+(((AK15+(IF(R15="IN-07",'Assumptions &amp; Inputs'!$E$66,AH15))*AN15)*AS15)*AZ15)+IF(BD15="Yes",(((AK15+(IF(R15="IN-07",'Assumptions &amp; Inputs'!$E$66,AH15))*AN15)*AS15)+AY15)*VLOOKUP("IN-34",'Assumptions &amp; Inputs'!$A$31:$F$69,5,FALSE),0),0)</f>
        <v>84309</v>
      </c>
      <c r="CA15" s="4">
        <f>IF(BQ15=1,((AI15+(IF(R15="IN-07",'Assumptions &amp; Inputs'!$C$65,AF15))*AL15)*AS15)+AW15+(((AI15+(IF(R15="IN-07",'Assumptions &amp; Inputs'!$C$65,AF15))*AL15)*AS15)*AZ15)+IF(BD15="Yes",(((AI15+(IF(R15="IN-07",'Assumptions &amp; Inputs'!$C$65,AF15))*AL15)*AS15)+AW15)*VLOOKUP("IN-34",'Assumptions &amp; Inputs'!$A$31:$F$69,3,FALSE),0),0)</f>
        <v>17607.75</v>
      </c>
      <c r="CB15" s="4">
        <f>IF(BQ15=1,((AJ15+(IF(R15="IN-07",'Assumptions &amp; Inputs'!$D$65,AG15))*AM15)*AS15)+AX15+(((AJ15+(IF(R15="IN-07",'Assumptions &amp; Inputs'!$D$65,AG15))*AM15)*AS15)*AZ15)+IF(BD15="Yes",(((AJ15+(IF(R15="IN-07",'Assumptions &amp; Inputs'!$D$65,AG15))*AM15)*AS15)+AX15)*VLOOKUP("IN-34",'Assumptions &amp; Inputs'!$A$31:$F$69,4,FALSE),0),0)</f>
        <v>36534.25</v>
      </c>
      <c r="CC15" s="4">
        <f>IF(BQ15=1,((AK15+(IF(R15="IN-07",'Assumptions &amp; Inputs'!$E$65,AH15))*AN15)*AS15)+AY15+(((AK15+(IF(R15="IN-07",'Assumptions &amp; Inputs'!$E$65,AH15))*AN15)*AS15)*AZ15)+IF(BD15="Yes",(((AK15+(IF(R15="IN-07",'Assumptions &amp; Inputs'!$E$65,AH15))*AN15)*AS15)+AY15)*VLOOKUP("IN-34",'Assumptions &amp; Inputs'!$A$31:$F$69,5,FALSE),0),0)</f>
        <v>84309</v>
      </c>
      <c r="CD15" s="4">
        <f>IF(BR15=1,((AI15+(IF(R15="IN-07",'Assumptions &amp; Inputs'!$C$65,AF15))*AL15)*AS15)+AW15+(((AI15+(IF(R15="IN-07",'Assumptions &amp; Inputs'!$C$65,AF15))*AL15)*AS15)*AZ15)+IF(BD15="Yes",(((AI15+(IF(R15="IN-07",'Assumptions &amp; Inputs'!$C$65,AF15))*AL15)*AS15)+AW15)*VLOOKUP("IN-34",'Assumptions &amp; Inputs'!$A$31:$F$69,3,FALSE),0),0)</f>
        <v>17607.75</v>
      </c>
      <c r="CE15" s="4">
        <f>IF(BR15=1,((AJ15+(IF(R15="IN-07",'Assumptions &amp; Inputs'!$D$65,AG15))*AM15)*AS15)+AX15+(((AJ15+(IF(R15="IN-07",'Assumptions &amp; Inputs'!$D$65,AG15))*AM15)*AS15)*AZ15)+IF(BD15="Yes",(((AJ15+(IF(R15="IN-07",'Assumptions &amp; Inputs'!$D$65,AG15))*AM15)*AS15)+AX15)*VLOOKUP("IN-34",'Assumptions &amp; Inputs'!$A$31:$F$69,4,FALSE),0),0)</f>
        <v>36534.25</v>
      </c>
      <c r="CF15" s="4">
        <f>IF(BR15=1,((AK15+(IF(R15="IN-07",'Assumptions &amp; Inputs'!$E$65,AH15))*AN15)*AS15)+AY15+(((AK15+(IF(R15="IN-07",'Assumptions &amp; Inputs'!$E$65,AH15))*AN15)*AS15)*AZ15)+IF(BD15="Yes",(((AK15+(IF(R15="IN-07",'Assumptions &amp; Inputs'!$E$65,AH15))*AN15)*AS15)+AY15)*VLOOKUP("IN-34",'Assumptions &amp; Inputs'!$A$31:$F$69,5,FALSE),0),0)</f>
        <v>84309</v>
      </c>
      <c r="CG15" s="4">
        <f>IF(BS15=1,((AI15+(IF(R15="IN-07",0,AF15))*AL15)*AS15)+AW15+(((AI15+(IF(R15="IN-07",0,AF15))*AL15)*AS15)*AZ15)+IF(BD15="Yes",(((AI15+(IF(R15="IN-07",0,AF15))*AL15)*AS15)+AW15)*VLOOKUP("IN-34",'Assumptions &amp; Inputs'!$A$31:$F$69,3,FALSE),0),0)</f>
        <v>17607.75</v>
      </c>
      <c r="CH15" s="4">
        <f>IF(BS15=1,((AJ15+(IF(R15="IN-07",0,AG15))*AM15)*AS15)+AX15+(((AJ15+(IF(R15="IN-07",0,AG15))*AM15)*AS15)*AZ15)+IF(BD15="Yes",(((AJ15+(IF(R15="IN-07",0,AG15))*AM15)*AS15)+AX15)*VLOOKUP("IN-34",'Assumptions &amp; Inputs'!$A$31:$F$69,4,FALSE),0),0)</f>
        <v>36534.25</v>
      </c>
      <c r="CI15" s="4">
        <f>IF(BS15=1,((AK15+(IF(R15="IN-07",0,AH15))*AN15)*AS15)+AY15+(((AK15+(IF(R15="IN-07",0,AH15))*AN15)*AS15)*AZ15)+IF(BD15="Yes",(((AK15+(IF(R15="IN-07",0,AH15))*AN15)*AS15)+AY15)*VLOOKUP("IN-34",'Assumptions &amp; Inputs'!$A$31:$F$69,5,FALSE),0),0)</f>
        <v>84309</v>
      </c>
      <c r="CJ15" s="4">
        <f>IF(BT15=1,((AI15+(IF(R15="IN-07",0,AF15))*AL15)*AS15)+AW15+(((AI15+(IF(R15="IN-07",0,AF15))*AL15)*AS15)*AZ15)+IF(BD15="Yes",(((AI15+(IF(R15="IN-07",0,AF15))*AL15)*AS15)+AW15)*VLOOKUP("IN-34",'Assumptions &amp; Inputs'!$A$31:$F$69,3,FALSE),0),0)</f>
        <v>17607.75</v>
      </c>
      <c r="CK15" s="4">
        <f>IF(BT15=1,((AJ15+(IF(R15="IN-07",0,AG15))*AM15)*AS15)+AX15+(((AJ15+(IF(R15="IN-07",0,AG15))*AM15)*AS15)*AZ15)+IF(BD15="Yes",(((AJ15+(IF(R15="IN-07",0,AG15))*AM15)*AS15)+AX15)*VLOOKUP("IN-34",'Assumptions &amp; Inputs'!$A$31:$F$69,4,FALSE),0),0)</f>
        <v>36534.25</v>
      </c>
      <c r="CL15" s="4">
        <f>IF(BT15=1,((AK15+(IF(R15="IN-07",0,AH15))*AN15)*AS15)+AY15+(((AK15+(IF(R15="IN-07",0,AH15))*AN15)*AS15)*AZ15)+IF(BD15="Yes",(((AK15+(IF(R15="IN-07",0,AH15))*AN15)*AS15)+AY15)*VLOOKUP("IN-34",'Assumptions &amp; Inputs'!$A$31:$F$69,5,FALSE),0),0)</f>
        <v>84309</v>
      </c>
    </row>
    <row r="16" spans="1:90" ht="43.5" x14ac:dyDescent="0.35">
      <c r="A16" s="50" t="s">
        <v>695</v>
      </c>
      <c r="B16" s="50" t="s">
        <v>696</v>
      </c>
      <c r="C16" s="50" t="s">
        <v>47</v>
      </c>
      <c r="D16" s="50" t="s">
        <v>55</v>
      </c>
      <c r="E16" s="50" t="s">
        <v>697</v>
      </c>
      <c r="F16" s="50" t="s">
        <v>698</v>
      </c>
      <c r="G16" s="50" t="s">
        <v>699</v>
      </c>
      <c r="H16" s="50" t="s">
        <v>700</v>
      </c>
      <c r="I16" s="50" t="s">
        <v>158</v>
      </c>
      <c r="J16" s="50" t="s">
        <v>164</v>
      </c>
      <c r="K16" s="50" t="s">
        <v>161</v>
      </c>
      <c r="L16" s="50" t="s">
        <v>158</v>
      </c>
      <c r="M16" s="50" t="s">
        <v>532</v>
      </c>
      <c r="N16" s="50" t="s">
        <v>156</v>
      </c>
      <c r="O16" s="50" t="s">
        <v>533</v>
      </c>
      <c r="P16" s="50" t="s">
        <v>612</v>
      </c>
      <c r="Q16" s="50" t="s">
        <v>701</v>
      </c>
      <c r="R16" s="50" t="s">
        <v>326</v>
      </c>
      <c r="S16" s="50" t="s">
        <v>614</v>
      </c>
      <c r="T16" s="50" t="s">
        <v>702</v>
      </c>
      <c r="U16" s="50" t="s">
        <v>703</v>
      </c>
      <c r="V16" s="50" t="s">
        <v>539</v>
      </c>
      <c r="W16" s="50" t="s">
        <v>704</v>
      </c>
      <c r="X16" s="50" t="s">
        <v>647</v>
      </c>
      <c r="Y16" s="50" t="s">
        <v>705</v>
      </c>
      <c r="Z16" s="50" t="s">
        <v>543</v>
      </c>
      <c r="AA16" s="50" t="s">
        <v>706</v>
      </c>
      <c r="AB16" s="50" t="s">
        <v>545</v>
      </c>
      <c r="AC16" s="50" t="s">
        <v>707</v>
      </c>
      <c r="AD16" s="50" t="s">
        <v>708</v>
      </c>
      <c r="AE16" s="16">
        <f>IF(ISNUMBER(SEARCH('Scenario Definitions'!$C$5,N16)),1,0)</f>
        <v>1</v>
      </c>
      <c r="AF16" s="16">
        <f>IFERROR(VLOOKUP(R16,'Assumptions &amp; Inputs'!$A$31:$F$69,3,FALSE),0)</f>
        <v>1</v>
      </c>
      <c r="AG16" s="16">
        <f>IFERROR(VLOOKUP(R16,'Assumptions &amp; Inputs'!$A$31:$F$69,4,FALSE),0)</f>
        <v>1</v>
      </c>
      <c r="AH16" s="17">
        <f>IFERROR(VLOOKUP(R16,'Assumptions &amp; Inputs'!$A$31:$F$69,5,FALSE),0)</f>
        <v>2</v>
      </c>
      <c r="AI16" s="11">
        <v>0</v>
      </c>
      <c r="AJ16" s="11">
        <v>0</v>
      </c>
      <c r="AK16" s="11">
        <v>0</v>
      </c>
      <c r="AL16" s="11">
        <v>12</v>
      </c>
      <c r="AM16" s="11">
        <v>16</v>
      </c>
      <c r="AN16" s="11">
        <v>24</v>
      </c>
      <c r="AO16" s="36">
        <f t="shared" si="0"/>
        <v>12</v>
      </c>
      <c r="AP16" s="16">
        <f t="shared" si="1"/>
        <v>16</v>
      </c>
      <c r="AQ16" s="17">
        <f t="shared" si="2"/>
        <v>48</v>
      </c>
      <c r="AR16" s="58" t="s">
        <v>408</v>
      </c>
      <c r="AS16" s="32">
        <f>IFERROR(VLOOKUP(AR16,'Assumptions &amp; Inputs'!$A$73:$I$100,9,FALSE),0)</f>
        <v>135</v>
      </c>
      <c r="AT16" s="24">
        <f t="shared" si="3"/>
        <v>1620</v>
      </c>
      <c r="AU16" s="24">
        <f t="shared" si="4"/>
        <v>2160</v>
      </c>
      <c r="AV16" s="25">
        <f t="shared" si="5"/>
        <v>6480</v>
      </c>
      <c r="AW16" s="57">
        <v>0</v>
      </c>
      <c r="AX16" s="57">
        <v>10000</v>
      </c>
      <c r="AY16" s="57">
        <v>40000</v>
      </c>
      <c r="AZ16" s="32">
        <f>IFERROR(VLOOKUP(C16,'Assumptions &amp; Inputs'!$A$104:$B$107,2,FALSE),0)</f>
        <v>0.25</v>
      </c>
      <c r="BA16" s="24">
        <f t="shared" si="6"/>
        <v>405</v>
      </c>
      <c r="BB16" s="24">
        <f t="shared" si="7"/>
        <v>540</v>
      </c>
      <c r="BC16" s="25">
        <f t="shared" si="8"/>
        <v>1620</v>
      </c>
      <c r="BD16" s="57" t="s">
        <v>209</v>
      </c>
      <c r="BE16" s="32">
        <f>IF(BD16="Yes",(AT16+AW16)*VLOOKUP("IN-34",'Assumptions &amp; Inputs'!$A$31:$F$69,3,FALSE),0)</f>
        <v>81</v>
      </c>
      <c r="BF16" s="24">
        <f>IF(BD16="Yes",(AU16+AX16)*VLOOKUP("IN-34",'Assumptions &amp; Inputs'!$A$31:$F$69,4,FALSE),0)</f>
        <v>912</v>
      </c>
      <c r="BG16" s="24">
        <f>IF(BD16="Yes",(AV16+AY16)*VLOOKUP("IN-34",'Assumptions &amp; Inputs'!$A$31:$F$69,5,FALSE),0)</f>
        <v>6972</v>
      </c>
      <c r="BH16" s="24">
        <f t="shared" si="9"/>
        <v>2106</v>
      </c>
      <c r="BI16" s="24">
        <f t="shared" si="10"/>
        <v>13612</v>
      </c>
      <c r="BJ16" s="25">
        <f t="shared" si="11"/>
        <v>55072</v>
      </c>
      <c r="BK16" s="58" t="s">
        <v>548</v>
      </c>
      <c r="BL16" s="58" t="s">
        <v>549</v>
      </c>
      <c r="BM16" s="58" t="s">
        <v>706</v>
      </c>
      <c r="BN16" s="58" t="s">
        <v>550</v>
      </c>
      <c r="BO16" s="5">
        <f t="shared" si="12"/>
        <v>1</v>
      </c>
      <c r="BP16" s="5">
        <f t="shared" si="13"/>
        <v>1</v>
      </c>
      <c r="BQ16" s="5">
        <f t="shared" si="14"/>
        <v>1</v>
      </c>
      <c r="BR16" s="5">
        <f t="shared" si="15"/>
        <v>1</v>
      </c>
      <c r="BS16" s="5">
        <f t="shared" si="16"/>
        <v>1</v>
      </c>
      <c r="BT16" s="5">
        <f t="shared" si="17"/>
        <v>1</v>
      </c>
      <c r="BU16" s="4">
        <f>IF(BO16=1,((AI16+(IF(R16="IN-07",'Assumptions &amp; Inputs'!$C$66,AF16))*AL16)*AS16)+AW16+(((AI16+(IF(R16="IN-07",'Assumptions &amp; Inputs'!$C$66,AF16))*AL16)*AS16)*AZ16)+IF(BD16="Yes",(((AI16+(IF(R16="IN-07",'Assumptions &amp; Inputs'!$C$66,AF16))*AL16)*AS16)+AW16)*VLOOKUP("IN-34",'Assumptions &amp; Inputs'!$A$31:$F$69,3,FALSE),0),0)</f>
        <v>2106</v>
      </c>
      <c r="BV16" s="4">
        <f>IF(BO16=1,((AJ16+(IF(R16="IN-07",'Assumptions &amp; Inputs'!$D$66,AG16))*AM16)*AS16)+AX16+(((AJ16+(IF(R16="IN-07",'Assumptions &amp; Inputs'!$D$66,AG16))*AM16)*AS16)*AZ16)+IF(BD16="Yes",(((AJ16+(IF(R16="IN-07",'Assumptions &amp; Inputs'!$D$66,AG16))*AM16)*AS16)+AX16)*VLOOKUP("IN-34",'Assumptions &amp; Inputs'!$A$31:$F$69,4,FALSE),0),0)</f>
        <v>13612</v>
      </c>
      <c r="BW16" s="4">
        <f>IF(BO16=1,((AK16+(IF(R16="IN-07",'Assumptions &amp; Inputs'!$E$66,AH16))*AN16)*AS16)+AY16+(((AK16+(IF(R16="IN-07",'Assumptions &amp; Inputs'!$E$66,AH16))*AN16)*AS16)*AZ16)+IF(BD16="Yes",(((AK16+(IF(R16="IN-07",'Assumptions &amp; Inputs'!$E$66,AH16))*AN16)*AS16)+AY16)*VLOOKUP("IN-34",'Assumptions &amp; Inputs'!$A$31:$F$69,5,FALSE),0),0)</f>
        <v>55072</v>
      </c>
      <c r="BX16" s="4">
        <f>IF(BP16=1,((AI16+(IF(R16="IN-07",'Assumptions &amp; Inputs'!$C$66,AF16))*AL16)*AS16)+AW16+(((AI16+(IF(R16="IN-07",'Assumptions &amp; Inputs'!$C$66,AF16))*AL16)*AS16)*AZ16)+IF(BD16="Yes",(((AI16+(IF(R16="IN-07",'Assumptions &amp; Inputs'!$C$66,AF16))*AL16)*AS16)+AW16)*VLOOKUP("IN-34",'Assumptions &amp; Inputs'!$A$31:$F$69,3,FALSE),0),0)</f>
        <v>2106</v>
      </c>
      <c r="BY16" s="4">
        <f>IF(BP16=1,((AJ16+(IF(R16="IN-07",'Assumptions &amp; Inputs'!$D$66,AG16))*AM16)*AS16)+AX16+(((AJ16+(IF(R16="IN-07",'Assumptions &amp; Inputs'!$D$66,AG16))*AM16)*AS16)*AZ16)+IF(BD16="Yes",(((AJ16+(IF(R16="IN-07",'Assumptions &amp; Inputs'!$D$66,AG16))*AM16)*AS16)+AX16)*VLOOKUP("IN-34",'Assumptions &amp; Inputs'!$A$31:$F$69,4,FALSE),0),0)</f>
        <v>13612</v>
      </c>
      <c r="BZ16" s="4">
        <f>IF(BP16=1,((AK16+(IF(R16="IN-07",'Assumptions &amp; Inputs'!$E$66,AH16))*AN16)*AS16)+AY16+(((AK16+(IF(R16="IN-07",'Assumptions &amp; Inputs'!$E$66,AH16))*AN16)*AS16)*AZ16)+IF(BD16="Yes",(((AK16+(IF(R16="IN-07",'Assumptions &amp; Inputs'!$E$66,AH16))*AN16)*AS16)+AY16)*VLOOKUP("IN-34",'Assumptions &amp; Inputs'!$A$31:$F$69,5,FALSE),0),0)</f>
        <v>55072</v>
      </c>
      <c r="CA16" s="4">
        <f>IF(BQ16=1,((AI16+(IF(R16="IN-07",'Assumptions &amp; Inputs'!$C$65,AF16))*AL16)*AS16)+AW16+(((AI16+(IF(R16="IN-07",'Assumptions &amp; Inputs'!$C$65,AF16))*AL16)*AS16)*AZ16)+IF(BD16="Yes",(((AI16+(IF(R16="IN-07",'Assumptions &amp; Inputs'!$C$65,AF16))*AL16)*AS16)+AW16)*VLOOKUP("IN-34",'Assumptions &amp; Inputs'!$A$31:$F$69,3,FALSE),0),0)</f>
        <v>2106</v>
      </c>
      <c r="CB16" s="4">
        <f>IF(BQ16=1,((AJ16+(IF(R16="IN-07",'Assumptions &amp; Inputs'!$D$65,AG16))*AM16)*AS16)+AX16+(((AJ16+(IF(R16="IN-07",'Assumptions &amp; Inputs'!$D$65,AG16))*AM16)*AS16)*AZ16)+IF(BD16="Yes",(((AJ16+(IF(R16="IN-07",'Assumptions &amp; Inputs'!$D$65,AG16))*AM16)*AS16)+AX16)*VLOOKUP("IN-34",'Assumptions &amp; Inputs'!$A$31:$F$69,4,FALSE),0),0)</f>
        <v>13612</v>
      </c>
      <c r="CC16" s="4">
        <f>IF(BQ16=1,((AK16+(IF(R16="IN-07",'Assumptions &amp; Inputs'!$E$65,AH16))*AN16)*AS16)+AY16+(((AK16+(IF(R16="IN-07",'Assumptions &amp; Inputs'!$E$65,AH16))*AN16)*AS16)*AZ16)+IF(BD16="Yes",(((AK16+(IF(R16="IN-07",'Assumptions &amp; Inputs'!$E$65,AH16))*AN16)*AS16)+AY16)*VLOOKUP("IN-34",'Assumptions &amp; Inputs'!$A$31:$F$69,5,FALSE),0),0)</f>
        <v>55072</v>
      </c>
      <c r="CD16" s="4">
        <f>IF(BR16=1,((AI16+(IF(R16="IN-07",'Assumptions &amp; Inputs'!$C$65,AF16))*AL16)*AS16)+AW16+(((AI16+(IF(R16="IN-07",'Assumptions &amp; Inputs'!$C$65,AF16))*AL16)*AS16)*AZ16)+IF(BD16="Yes",(((AI16+(IF(R16="IN-07",'Assumptions &amp; Inputs'!$C$65,AF16))*AL16)*AS16)+AW16)*VLOOKUP("IN-34",'Assumptions &amp; Inputs'!$A$31:$F$69,3,FALSE),0),0)</f>
        <v>2106</v>
      </c>
      <c r="CE16" s="4">
        <f>IF(BR16=1,((AJ16+(IF(R16="IN-07",'Assumptions &amp; Inputs'!$D$65,AG16))*AM16)*AS16)+AX16+(((AJ16+(IF(R16="IN-07",'Assumptions &amp; Inputs'!$D$65,AG16))*AM16)*AS16)*AZ16)+IF(BD16="Yes",(((AJ16+(IF(R16="IN-07",'Assumptions &amp; Inputs'!$D$65,AG16))*AM16)*AS16)+AX16)*VLOOKUP("IN-34",'Assumptions &amp; Inputs'!$A$31:$F$69,4,FALSE),0),0)</f>
        <v>13612</v>
      </c>
      <c r="CF16" s="4">
        <f>IF(BR16=1,((AK16+(IF(R16="IN-07",'Assumptions &amp; Inputs'!$E$65,AH16))*AN16)*AS16)+AY16+(((AK16+(IF(R16="IN-07",'Assumptions &amp; Inputs'!$E$65,AH16))*AN16)*AS16)*AZ16)+IF(BD16="Yes",(((AK16+(IF(R16="IN-07",'Assumptions &amp; Inputs'!$E$65,AH16))*AN16)*AS16)+AY16)*VLOOKUP("IN-34",'Assumptions &amp; Inputs'!$A$31:$F$69,5,FALSE),0),0)</f>
        <v>55072</v>
      </c>
      <c r="CG16" s="4">
        <f>IF(BS16=1,((AI16+(IF(R16="IN-07",0,AF16))*AL16)*AS16)+AW16+(((AI16+(IF(R16="IN-07",0,AF16))*AL16)*AS16)*AZ16)+IF(BD16="Yes",(((AI16+(IF(R16="IN-07",0,AF16))*AL16)*AS16)+AW16)*VLOOKUP("IN-34",'Assumptions &amp; Inputs'!$A$31:$F$69,3,FALSE),0),0)</f>
        <v>2106</v>
      </c>
      <c r="CH16" s="4">
        <f>IF(BS16=1,((AJ16+(IF(R16="IN-07",0,AG16))*AM16)*AS16)+AX16+(((AJ16+(IF(R16="IN-07",0,AG16))*AM16)*AS16)*AZ16)+IF(BD16="Yes",(((AJ16+(IF(R16="IN-07",0,AG16))*AM16)*AS16)+AX16)*VLOOKUP("IN-34",'Assumptions &amp; Inputs'!$A$31:$F$69,4,FALSE),0),0)</f>
        <v>13612</v>
      </c>
      <c r="CI16" s="4">
        <f>IF(BS16=1,((AK16+(IF(R16="IN-07",0,AH16))*AN16)*AS16)+AY16+(((AK16+(IF(R16="IN-07",0,AH16))*AN16)*AS16)*AZ16)+IF(BD16="Yes",(((AK16+(IF(R16="IN-07",0,AH16))*AN16)*AS16)+AY16)*VLOOKUP("IN-34",'Assumptions &amp; Inputs'!$A$31:$F$69,5,FALSE),0),0)</f>
        <v>55072</v>
      </c>
      <c r="CJ16" s="4">
        <f>IF(BT16=1,((AI16+(IF(R16="IN-07",0,AF16))*AL16)*AS16)+AW16+(((AI16+(IF(R16="IN-07",0,AF16))*AL16)*AS16)*AZ16)+IF(BD16="Yes",(((AI16+(IF(R16="IN-07",0,AF16))*AL16)*AS16)+AW16)*VLOOKUP("IN-34",'Assumptions &amp; Inputs'!$A$31:$F$69,3,FALSE),0),0)</f>
        <v>2106</v>
      </c>
      <c r="CK16" s="4">
        <f>IF(BT16=1,((AJ16+(IF(R16="IN-07",0,AG16))*AM16)*AS16)+AX16+(((AJ16+(IF(R16="IN-07",0,AG16))*AM16)*AS16)*AZ16)+IF(BD16="Yes",(((AJ16+(IF(R16="IN-07",0,AG16))*AM16)*AS16)+AX16)*VLOOKUP("IN-34",'Assumptions &amp; Inputs'!$A$31:$F$69,4,FALSE),0),0)</f>
        <v>13612</v>
      </c>
      <c r="CL16" s="4">
        <f>IF(BT16=1,((AK16+(IF(R16="IN-07",0,AH16))*AN16)*AS16)+AY16+(((AK16+(IF(R16="IN-07",0,AH16))*AN16)*AS16)*AZ16)+IF(BD16="Yes",(((AK16+(IF(R16="IN-07",0,AH16))*AN16)*AS16)+AY16)*VLOOKUP("IN-34",'Assumptions &amp; Inputs'!$A$31:$F$69,5,FALSE),0),0)</f>
        <v>55072</v>
      </c>
    </row>
    <row r="17" spans="1:90" ht="43.5" x14ac:dyDescent="0.35">
      <c r="A17" s="50" t="s">
        <v>709</v>
      </c>
      <c r="B17" s="50" t="s">
        <v>710</v>
      </c>
      <c r="C17" s="50" t="s">
        <v>47</v>
      </c>
      <c r="D17" s="50" t="s">
        <v>56</v>
      </c>
      <c r="E17" s="50" t="s">
        <v>711</v>
      </c>
      <c r="F17" s="50" t="s">
        <v>712</v>
      </c>
      <c r="G17" s="50" t="s">
        <v>713</v>
      </c>
      <c r="H17" s="50" t="s">
        <v>714</v>
      </c>
      <c r="I17" s="50" t="s">
        <v>158</v>
      </c>
      <c r="J17" s="50" t="s">
        <v>715</v>
      </c>
      <c r="K17" s="50" t="s">
        <v>669</v>
      </c>
      <c r="L17" s="50" t="s">
        <v>158</v>
      </c>
      <c r="M17" s="50" t="s">
        <v>532</v>
      </c>
      <c r="N17" s="50" t="s">
        <v>156</v>
      </c>
      <c r="O17" s="50" t="s">
        <v>533</v>
      </c>
      <c r="P17" s="50" t="s">
        <v>174</v>
      </c>
      <c r="Q17" s="50" t="s">
        <v>716</v>
      </c>
      <c r="R17" s="50" t="s">
        <v>350</v>
      </c>
      <c r="S17" s="50" t="s">
        <v>717</v>
      </c>
      <c r="T17" s="50" t="s">
        <v>718</v>
      </c>
      <c r="U17" s="50" t="s">
        <v>719</v>
      </c>
      <c r="V17" s="50" t="s">
        <v>539</v>
      </c>
      <c r="W17" s="50" t="s">
        <v>540</v>
      </c>
      <c r="X17" s="50" t="s">
        <v>647</v>
      </c>
      <c r="Y17" s="50" t="s">
        <v>171</v>
      </c>
      <c r="Z17" s="50" t="s">
        <v>543</v>
      </c>
      <c r="AA17" s="50" t="s">
        <v>720</v>
      </c>
      <c r="AB17" s="50" t="s">
        <v>36</v>
      </c>
      <c r="AC17" s="50" t="s">
        <v>721</v>
      </c>
      <c r="AD17" s="50" t="s">
        <v>722</v>
      </c>
      <c r="AE17" s="16">
        <f>IF(ISNUMBER(SEARCH('Scenario Definitions'!$C$5,N17)),1,0)</f>
        <v>1</v>
      </c>
      <c r="AF17" s="16">
        <f>IFERROR(VLOOKUP(R17,'Assumptions &amp; Inputs'!$A$31:$F$69,3,FALSE),0)</f>
        <v>2</v>
      </c>
      <c r="AG17" s="16">
        <f>IFERROR(VLOOKUP(R17,'Assumptions &amp; Inputs'!$A$31:$F$69,4,FALSE),0)</f>
        <v>3</v>
      </c>
      <c r="AH17" s="17">
        <f>IFERROR(VLOOKUP(R17,'Assumptions &amp; Inputs'!$A$31:$F$69,5,FALSE),0)</f>
        <v>4</v>
      </c>
      <c r="AI17" s="11">
        <v>0</v>
      </c>
      <c r="AJ17" s="11">
        <v>0</v>
      </c>
      <c r="AK17" s="11">
        <v>0</v>
      </c>
      <c r="AL17" s="11">
        <v>24.3</v>
      </c>
      <c r="AM17" s="11">
        <v>32.4</v>
      </c>
      <c r="AN17" s="11">
        <v>48.6</v>
      </c>
      <c r="AO17" s="36">
        <f t="shared" si="0"/>
        <v>48.6</v>
      </c>
      <c r="AP17" s="16">
        <f t="shared" si="1"/>
        <v>97.199999999999989</v>
      </c>
      <c r="AQ17" s="17">
        <f t="shared" si="2"/>
        <v>194.4</v>
      </c>
      <c r="AR17" s="58" t="s">
        <v>410</v>
      </c>
      <c r="AS17" s="32">
        <f>IFERROR(VLOOKUP(AR17,'Assumptions &amp; Inputs'!$A$73:$I$100,9,FALSE),0)</f>
        <v>95</v>
      </c>
      <c r="AT17" s="24">
        <f t="shared" si="3"/>
        <v>4617</v>
      </c>
      <c r="AU17" s="24">
        <f t="shared" si="4"/>
        <v>9233.9999999999982</v>
      </c>
      <c r="AV17" s="25">
        <f t="shared" si="5"/>
        <v>18468</v>
      </c>
      <c r="AW17" s="57">
        <v>0</v>
      </c>
      <c r="AX17" s="57">
        <v>0</v>
      </c>
      <c r="AY17" s="57">
        <v>0</v>
      </c>
      <c r="AZ17" s="32">
        <f>IFERROR(VLOOKUP(C17,'Assumptions &amp; Inputs'!$A$104:$B$107,2,FALSE),0)</f>
        <v>0.25</v>
      </c>
      <c r="BA17" s="24">
        <f t="shared" si="6"/>
        <v>1154.25</v>
      </c>
      <c r="BB17" s="24">
        <f t="shared" si="7"/>
        <v>2308.4999999999995</v>
      </c>
      <c r="BC17" s="25">
        <f t="shared" si="8"/>
        <v>4617</v>
      </c>
      <c r="BD17" s="57" t="s">
        <v>209</v>
      </c>
      <c r="BE17" s="32">
        <f>IF(BD17="Yes",(AT17+AW17)*VLOOKUP("IN-34",'Assumptions &amp; Inputs'!$A$31:$F$69,3,FALSE),0)</f>
        <v>230.85000000000002</v>
      </c>
      <c r="BF17" s="24">
        <f>IF(BD17="Yes",(AU17+AX17)*VLOOKUP("IN-34",'Assumptions &amp; Inputs'!$A$31:$F$69,4,FALSE),0)</f>
        <v>692.54999999999984</v>
      </c>
      <c r="BG17" s="24">
        <f>IF(BD17="Yes",(AV17+AY17)*VLOOKUP("IN-34",'Assumptions &amp; Inputs'!$A$31:$F$69,5,FALSE),0)</f>
        <v>2770.2</v>
      </c>
      <c r="BH17" s="24">
        <f t="shared" si="9"/>
        <v>6002.1</v>
      </c>
      <c r="BI17" s="24">
        <f t="shared" si="10"/>
        <v>12235.049999999997</v>
      </c>
      <c r="BJ17" s="25">
        <f t="shared" si="11"/>
        <v>25855.200000000001</v>
      </c>
      <c r="BK17" s="58" t="s">
        <v>548</v>
      </c>
      <c r="BL17" s="58" t="s">
        <v>549</v>
      </c>
      <c r="BM17" s="58" t="s">
        <v>720</v>
      </c>
      <c r="BN17" s="58" t="s">
        <v>550</v>
      </c>
      <c r="BO17" s="5">
        <f t="shared" si="12"/>
        <v>1</v>
      </c>
      <c r="BP17" s="5">
        <f t="shared" si="13"/>
        <v>1</v>
      </c>
      <c r="BQ17" s="5">
        <f t="shared" si="14"/>
        <v>1</v>
      </c>
      <c r="BR17" s="5">
        <f t="shared" si="15"/>
        <v>1</v>
      </c>
      <c r="BS17" s="5">
        <f t="shared" si="16"/>
        <v>1</v>
      </c>
      <c r="BT17" s="5">
        <f t="shared" si="17"/>
        <v>1</v>
      </c>
      <c r="BU17" s="4">
        <f>IF(BO17=1,((AI17+(IF(R17="IN-07",'Assumptions &amp; Inputs'!$C$66,AF17))*AL17)*AS17)+AW17+(((AI17+(IF(R17="IN-07",'Assumptions &amp; Inputs'!$C$66,AF17))*AL17)*AS17)*AZ17)+IF(BD17="Yes",(((AI17+(IF(R17="IN-07",'Assumptions &amp; Inputs'!$C$66,AF17))*AL17)*AS17)+AW17)*VLOOKUP("IN-34",'Assumptions &amp; Inputs'!$A$31:$F$69,3,FALSE),0),0)</f>
        <v>6002.1</v>
      </c>
      <c r="BV17" s="4">
        <f>IF(BO17=1,((AJ17+(IF(R17="IN-07",'Assumptions &amp; Inputs'!$D$66,AG17))*AM17)*AS17)+AX17+(((AJ17+(IF(R17="IN-07",'Assumptions &amp; Inputs'!$D$66,AG17))*AM17)*AS17)*AZ17)+IF(BD17="Yes",(((AJ17+(IF(R17="IN-07",'Assumptions &amp; Inputs'!$D$66,AG17))*AM17)*AS17)+AX17)*VLOOKUP("IN-34",'Assumptions &amp; Inputs'!$A$31:$F$69,4,FALSE),0),0)</f>
        <v>12235.049999999997</v>
      </c>
      <c r="BW17" s="4">
        <f>IF(BO17=1,((AK17+(IF(R17="IN-07",'Assumptions &amp; Inputs'!$E$66,AH17))*AN17)*AS17)+AY17+(((AK17+(IF(R17="IN-07",'Assumptions &amp; Inputs'!$E$66,AH17))*AN17)*AS17)*AZ17)+IF(BD17="Yes",(((AK17+(IF(R17="IN-07",'Assumptions &amp; Inputs'!$E$66,AH17))*AN17)*AS17)+AY17)*VLOOKUP("IN-34",'Assumptions &amp; Inputs'!$A$31:$F$69,5,FALSE),0),0)</f>
        <v>25855.200000000001</v>
      </c>
      <c r="BX17" s="4">
        <f>IF(BP17=1,((AI17+(IF(R17="IN-07",'Assumptions &amp; Inputs'!$C$66,AF17))*AL17)*AS17)+AW17+(((AI17+(IF(R17="IN-07",'Assumptions &amp; Inputs'!$C$66,AF17))*AL17)*AS17)*AZ17)+IF(BD17="Yes",(((AI17+(IF(R17="IN-07",'Assumptions &amp; Inputs'!$C$66,AF17))*AL17)*AS17)+AW17)*VLOOKUP("IN-34",'Assumptions &amp; Inputs'!$A$31:$F$69,3,FALSE),0),0)</f>
        <v>6002.1</v>
      </c>
      <c r="BY17" s="4">
        <f>IF(BP17=1,((AJ17+(IF(R17="IN-07",'Assumptions &amp; Inputs'!$D$66,AG17))*AM17)*AS17)+AX17+(((AJ17+(IF(R17="IN-07",'Assumptions &amp; Inputs'!$D$66,AG17))*AM17)*AS17)*AZ17)+IF(BD17="Yes",(((AJ17+(IF(R17="IN-07",'Assumptions &amp; Inputs'!$D$66,AG17))*AM17)*AS17)+AX17)*VLOOKUP("IN-34",'Assumptions &amp; Inputs'!$A$31:$F$69,4,FALSE),0),0)</f>
        <v>12235.049999999997</v>
      </c>
      <c r="BZ17" s="4">
        <f>IF(BP17=1,((AK17+(IF(R17="IN-07",'Assumptions &amp; Inputs'!$E$66,AH17))*AN17)*AS17)+AY17+(((AK17+(IF(R17="IN-07",'Assumptions &amp; Inputs'!$E$66,AH17))*AN17)*AS17)*AZ17)+IF(BD17="Yes",(((AK17+(IF(R17="IN-07",'Assumptions &amp; Inputs'!$E$66,AH17))*AN17)*AS17)+AY17)*VLOOKUP("IN-34",'Assumptions &amp; Inputs'!$A$31:$F$69,5,FALSE),0),0)</f>
        <v>25855.200000000001</v>
      </c>
      <c r="CA17" s="4">
        <f>IF(BQ17=1,((AI17+(IF(R17="IN-07",'Assumptions &amp; Inputs'!$C$65,AF17))*AL17)*AS17)+AW17+(((AI17+(IF(R17="IN-07",'Assumptions &amp; Inputs'!$C$65,AF17))*AL17)*AS17)*AZ17)+IF(BD17="Yes",(((AI17+(IF(R17="IN-07",'Assumptions &amp; Inputs'!$C$65,AF17))*AL17)*AS17)+AW17)*VLOOKUP("IN-34",'Assumptions &amp; Inputs'!$A$31:$F$69,3,FALSE),0),0)</f>
        <v>6002.1</v>
      </c>
      <c r="CB17" s="4">
        <f>IF(BQ17=1,((AJ17+(IF(R17="IN-07",'Assumptions &amp; Inputs'!$D$65,AG17))*AM17)*AS17)+AX17+(((AJ17+(IF(R17="IN-07",'Assumptions &amp; Inputs'!$D$65,AG17))*AM17)*AS17)*AZ17)+IF(BD17="Yes",(((AJ17+(IF(R17="IN-07",'Assumptions &amp; Inputs'!$D$65,AG17))*AM17)*AS17)+AX17)*VLOOKUP("IN-34",'Assumptions &amp; Inputs'!$A$31:$F$69,4,FALSE),0),0)</f>
        <v>12235.049999999997</v>
      </c>
      <c r="CC17" s="4">
        <f>IF(BQ17=1,((AK17+(IF(R17="IN-07",'Assumptions &amp; Inputs'!$E$65,AH17))*AN17)*AS17)+AY17+(((AK17+(IF(R17="IN-07",'Assumptions &amp; Inputs'!$E$65,AH17))*AN17)*AS17)*AZ17)+IF(BD17="Yes",(((AK17+(IF(R17="IN-07",'Assumptions &amp; Inputs'!$E$65,AH17))*AN17)*AS17)+AY17)*VLOOKUP("IN-34",'Assumptions &amp; Inputs'!$A$31:$F$69,5,FALSE),0),0)</f>
        <v>25855.200000000001</v>
      </c>
      <c r="CD17" s="4">
        <f>IF(BR17=1,((AI17+(IF(R17="IN-07",'Assumptions &amp; Inputs'!$C$65,AF17))*AL17)*AS17)+AW17+(((AI17+(IF(R17="IN-07",'Assumptions &amp; Inputs'!$C$65,AF17))*AL17)*AS17)*AZ17)+IF(BD17="Yes",(((AI17+(IF(R17="IN-07",'Assumptions &amp; Inputs'!$C$65,AF17))*AL17)*AS17)+AW17)*VLOOKUP("IN-34",'Assumptions &amp; Inputs'!$A$31:$F$69,3,FALSE),0),0)</f>
        <v>6002.1</v>
      </c>
      <c r="CE17" s="4">
        <f>IF(BR17=1,((AJ17+(IF(R17="IN-07",'Assumptions &amp; Inputs'!$D$65,AG17))*AM17)*AS17)+AX17+(((AJ17+(IF(R17="IN-07",'Assumptions &amp; Inputs'!$D$65,AG17))*AM17)*AS17)*AZ17)+IF(BD17="Yes",(((AJ17+(IF(R17="IN-07",'Assumptions &amp; Inputs'!$D$65,AG17))*AM17)*AS17)+AX17)*VLOOKUP("IN-34",'Assumptions &amp; Inputs'!$A$31:$F$69,4,FALSE),0),0)</f>
        <v>12235.049999999997</v>
      </c>
      <c r="CF17" s="4">
        <f>IF(BR17=1,((AK17+(IF(R17="IN-07",'Assumptions &amp; Inputs'!$E$65,AH17))*AN17)*AS17)+AY17+(((AK17+(IF(R17="IN-07",'Assumptions &amp; Inputs'!$E$65,AH17))*AN17)*AS17)*AZ17)+IF(BD17="Yes",(((AK17+(IF(R17="IN-07",'Assumptions &amp; Inputs'!$E$65,AH17))*AN17)*AS17)+AY17)*VLOOKUP("IN-34",'Assumptions &amp; Inputs'!$A$31:$F$69,5,FALSE),0),0)</f>
        <v>25855.200000000001</v>
      </c>
      <c r="CG17" s="4">
        <f>IF(BS17=1,((AI17+(IF(R17="IN-07",0,AF17))*AL17)*AS17)+AW17+(((AI17+(IF(R17="IN-07",0,AF17))*AL17)*AS17)*AZ17)+IF(BD17="Yes",(((AI17+(IF(R17="IN-07",0,AF17))*AL17)*AS17)+AW17)*VLOOKUP("IN-34",'Assumptions &amp; Inputs'!$A$31:$F$69,3,FALSE),0),0)</f>
        <v>6002.1</v>
      </c>
      <c r="CH17" s="4">
        <f>IF(BS17=1,((AJ17+(IF(R17="IN-07",0,AG17))*AM17)*AS17)+AX17+(((AJ17+(IF(R17="IN-07",0,AG17))*AM17)*AS17)*AZ17)+IF(BD17="Yes",(((AJ17+(IF(R17="IN-07",0,AG17))*AM17)*AS17)+AX17)*VLOOKUP("IN-34",'Assumptions &amp; Inputs'!$A$31:$F$69,4,FALSE),0),0)</f>
        <v>12235.049999999997</v>
      </c>
      <c r="CI17" s="4">
        <f>IF(BS17=1,((AK17+(IF(R17="IN-07",0,AH17))*AN17)*AS17)+AY17+(((AK17+(IF(R17="IN-07",0,AH17))*AN17)*AS17)*AZ17)+IF(BD17="Yes",(((AK17+(IF(R17="IN-07",0,AH17))*AN17)*AS17)+AY17)*VLOOKUP("IN-34",'Assumptions &amp; Inputs'!$A$31:$F$69,5,FALSE),0),0)</f>
        <v>25855.200000000001</v>
      </c>
      <c r="CJ17" s="4">
        <f>IF(BT17=1,((AI17+(IF(R17="IN-07",0,AF17))*AL17)*AS17)+AW17+(((AI17+(IF(R17="IN-07",0,AF17))*AL17)*AS17)*AZ17)+IF(BD17="Yes",(((AI17+(IF(R17="IN-07",0,AF17))*AL17)*AS17)+AW17)*VLOOKUP("IN-34",'Assumptions &amp; Inputs'!$A$31:$F$69,3,FALSE),0),0)</f>
        <v>6002.1</v>
      </c>
      <c r="CK17" s="4">
        <f>IF(BT17=1,((AJ17+(IF(R17="IN-07",0,AG17))*AM17)*AS17)+AX17+(((AJ17+(IF(R17="IN-07",0,AG17))*AM17)*AS17)*AZ17)+IF(BD17="Yes",(((AJ17+(IF(R17="IN-07",0,AG17))*AM17)*AS17)+AX17)*VLOOKUP("IN-34",'Assumptions &amp; Inputs'!$A$31:$F$69,4,FALSE),0),0)</f>
        <v>12235.049999999997</v>
      </c>
      <c r="CL17" s="4">
        <f>IF(BT17=1,((AK17+(IF(R17="IN-07",0,AH17))*AN17)*AS17)+AY17+(((AK17+(IF(R17="IN-07",0,AH17))*AN17)*AS17)*AZ17)+IF(BD17="Yes",(((AK17+(IF(R17="IN-07",0,AH17))*AN17)*AS17)+AY17)*VLOOKUP("IN-34",'Assumptions &amp; Inputs'!$A$31:$F$69,5,FALSE),0),0)</f>
        <v>25855.200000000001</v>
      </c>
    </row>
    <row r="18" spans="1:90" ht="43.5" x14ac:dyDescent="0.35">
      <c r="A18" s="50" t="s">
        <v>723</v>
      </c>
      <c r="B18" s="50" t="s">
        <v>724</v>
      </c>
      <c r="C18" s="50" t="s">
        <v>47</v>
      </c>
      <c r="D18" s="50" t="s">
        <v>56</v>
      </c>
      <c r="E18" s="50" t="s">
        <v>725</v>
      </c>
      <c r="F18" s="50" t="s">
        <v>726</v>
      </c>
      <c r="G18" s="50" t="s">
        <v>727</v>
      </c>
      <c r="H18" s="50" t="s">
        <v>728</v>
      </c>
      <c r="I18" s="50" t="s">
        <v>158</v>
      </c>
      <c r="J18" s="50" t="s">
        <v>729</v>
      </c>
      <c r="K18" s="50" t="s">
        <v>669</v>
      </c>
      <c r="L18" s="50" t="s">
        <v>158</v>
      </c>
      <c r="M18" s="50" t="s">
        <v>532</v>
      </c>
      <c r="N18" s="50" t="s">
        <v>156</v>
      </c>
      <c r="O18" s="50" t="s">
        <v>533</v>
      </c>
      <c r="P18" s="50" t="s">
        <v>730</v>
      </c>
      <c r="Q18" s="50" t="s">
        <v>731</v>
      </c>
      <c r="R18" s="50" t="s">
        <v>329</v>
      </c>
      <c r="S18" s="50" t="s">
        <v>614</v>
      </c>
      <c r="T18" s="50" t="s">
        <v>732</v>
      </c>
      <c r="U18" s="50" t="s">
        <v>733</v>
      </c>
      <c r="V18" s="50" t="s">
        <v>539</v>
      </c>
      <c r="W18" s="50" t="s">
        <v>540</v>
      </c>
      <c r="X18" s="50" t="s">
        <v>647</v>
      </c>
      <c r="Y18" s="50" t="s">
        <v>171</v>
      </c>
      <c r="Z18" s="50" t="s">
        <v>543</v>
      </c>
      <c r="AA18" s="50" t="s">
        <v>734</v>
      </c>
      <c r="AB18" s="50" t="s">
        <v>36</v>
      </c>
      <c r="AC18" s="50" t="s">
        <v>735</v>
      </c>
      <c r="AD18" s="50" t="s">
        <v>736</v>
      </c>
      <c r="AE18" s="16">
        <f>IF(ISNUMBER(SEARCH('Scenario Definitions'!$C$5,N18)),1,0)</f>
        <v>1</v>
      </c>
      <c r="AF18" s="16">
        <f>IFERROR(VLOOKUP(R18,'Assumptions &amp; Inputs'!$A$31:$F$69,3,FALSE),0)</f>
        <v>1</v>
      </c>
      <c r="AG18" s="16">
        <f>IFERROR(VLOOKUP(R18,'Assumptions &amp; Inputs'!$A$31:$F$69,4,FALSE),0)</f>
        <v>1</v>
      </c>
      <c r="AH18" s="17">
        <f>IFERROR(VLOOKUP(R18,'Assumptions &amp; Inputs'!$A$31:$F$69,5,FALSE),0)</f>
        <v>2</v>
      </c>
      <c r="AI18" s="11">
        <v>0</v>
      </c>
      <c r="AJ18" s="11">
        <v>0</v>
      </c>
      <c r="AK18" s="11">
        <v>0</v>
      </c>
      <c r="AL18" s="11">
        <v>16.2</v>
      </c>
      <c r="AM18" s="11">
        <v>21.6</v>
      </c>
      <c r="AN18" s="11">
        <v>32.4</v>
      </c>
      <c r="AO18" s="36">
        <f t="shared" si="0"/>
        <v>16.2</v>
      </c>
      <c r="AP18" s="16">
        <f t="shared" si="1"/>
        <v>21.6</v>
      </c>
      <c r="AQ18" s="17">
        <f t="shared" si="2"/>
        <v>64.8</v>
      </c>
      <c r="AR18" s="58" t="s">
        <v>406</v>
      </c>
      <c r="AS18" s="32">
        <f>IFERROR(VLOOKUP(AR18,'Assumptions &amp; Inputs'!$A$73:$I$100,9,FALSE),0)</f>
        <v>125</v>
      </c>
      <c r="AT18" s="24">
        <f t="shared" si="3"/>
        <v>2025</v>
      </c>
      <c r="AU18" s="24">
        <f t="shared" si="4"/>
        <v>2700</v>
      </c>
      <c r="AV18" s="25">
        <f t="shared" si="5"/>
        <v>8100</v>
      </c>
      <c r="AW18" s="57">
        <v>0</v>
      </c>
      <c r="AX18" s="57">
        <v>0</v>
      </c>
      <c r="AY18" s="57">
        <v>0</v>
      </c>
      <c r="AZ18" s="32">
        <f>IFERROR(VLOOKUP(C18,'Assumptions &amp; Inputs'!$A$104:$B$107,2,FALSE),0)</f>
        <v>0.25</v>
      </c>
      <c r="BA18" s="24">
        <f t="shared" si="6"/>
        <v>506.25</v>
      </c>
      <c r="BB18" s="24">
        <f t="shared" si="7"/>
        <v>675</v>
      </c>
      <c r="BC18" s="25">
        <f t="shared" si="8"/>
        <v>2025</v>
      </c>
      <c r="BD18" s="57" t="s">
        <v>209</v>
      </c>
      <c r="BE18" s="32">
        <f>IF(BD18="Yes",(AT18+AW18)*VLOOKUP("IN-34",'Assumptions &amp; Inputs'!$A$31:$F$69,3,FALSE),0)</f>
        <v>101.25</v>
      </c>
      <c r="BF18" s="24">
        <f>IF(BD18="Yes",(AU18+AX18)*VLOOKUP("IN-34",'Assumptions &amp; Inputs'!$A$31:$F$69,4,FALSE),0)</f>
        <v>202.5</v>
      </c>
      <c r="BG18" s="24">
        <f>IF(BD18="Yes",(AV18+AY18)*VLOOKUP("IN-34",'Assumptions &amp; Inputs'!$A$31:$F$69,5,FALSE),0)</f>
        <v>1215</v>
      </c>
      <c r="BH18" s="24">
        <f t="shared" si="9"/>
        <v>2632.5</v>
      </c>
      <c r="BI18" s="24">
        <f t="shared" si="10"/>
        <v>3577.5</v>
      </c>
      <c r="BJ18" s="25">
        <f t="shared" si="11"/>
        <v>11340</v>
      </c>
      <c r="BK18" s="58" t="s">
        <v>548</v>
      </c>
      <c r="BL18" s="58" t="s">
        <v>549</v>
      </c>
      <c r="BM18" s="58" t="s">
        <v>734</v>
      </c>
      <c r="BN18" s="58" t="s">
        <v>550</v>
      </c>
      <c r="BO18" s="5">
        <f t="shared" si="12"/>
        <v>1</v>
      </c>
      <c r="BP18" s="5">
        <f t="shared" si="13"/>
        <v>1</v>
      </c>
      <c r="BQ18" s="5">
        <f t="shared" si="14"/>
        <v>1</v>
      </c>
      <c r="BR18" s="5">
        <f t="shared" si="15"/>
        <v>1</v>
      </c>
      <c r="BS18" s="5">
        <f t="shared" si="16"/>
        <v>1</v>
      </c>
      <c r="BT18" s="5">
        <f t="shared" si="17"/>
        <v>1</v>
      </c>
      <c r="BU18" s="4">
        <f>IF(BO18=1,((AI18+(IF(R18="IN-07",'Assumptions &amp; Inputs'!$C$66,AF18))*AL18)*AS18)+AW18+(((AI18+(IF(R18="IN-07",'Assumptions &amp; Inputs'!$C$66,AF18))*AL18)*AS18)*AZ18)+IF(BD18="Yes",(((AI18+(IF(R18="IN-07",'Assumptions &amp; Inputs'!$C$66,AF18))*AL18)*AS18)+AW18)*VLOOKUP("IN-34",'Assumptions &amp; Inputs'!$A$31:$F$69,3,FALSE),0),0)</f>
        <v>2632.5</v>
      </c>
      <c r="BV18" s="4">
        <f>IF(BO18=1,((AJ18+(IF(R18="IN-07",'Assumptions &amp; Inputs'!$D$66,AG18))*AM18)*AS18)+AX18+(((AJ18+(IF(R18="IN-07",'Assumptions &amp; Inputs'!$D$66,AG18))*AM18)*AS18)*AZ18)+IF(BD18="Yes",(((AJ18+(IF(R18="IN-07",'Assumptions &amp; Inputs'!$D$66,AG18))*AM18)*AS18)+AX18)*VLOOKUP("IN-34",'Assumptions &amp; Inputs'!$A$31:$F$69,4,FALSE),0),0)</f>
        <v>3577.5</v>
      </c>
      <c r="BW18" s="4">
        <f>IF(BO18=1,((AK18+(IF(R18="IN-07",'Assumptions &amp; Inputs'!$E$66,AH18))*AN18)*AS18)+AY18+(((AK18+(IF(R18="IN-07",'Assumptions &amp; Inputs'!$E$66,AH18))*AN18)*AS18)*AZ18)+IF(BD18="Yes",(((AK18+(IF(R18="IN-07",'Assumptions &amp; Inputs'!$E$66,AH18))*AN18)*AS18)+AY18)*VLOOKUP("IN-34",'Assumptions &amp; Inputs'!$A$31:$F$69,5,FALSE),0),0)</f>
        <v>11340</v>
      </c>
      <c r="BX18" s="4">
        <f>IF(BP18=1,((AI18+(IF(R18="IN-07",'Assumptions &amp; Inputs'!$C$66,AF18))*AL18)*AS18)+AW18+(((AI18+(IF(R18="IN-07",'Assumptions &amp; Inputs'!$C$66,AF18))*AL18)*AS18)*AZ18)+IF(BD18="Yes",(((AI18+(IF(R18="IN-07",'Assumptions &amp; Inputs'!$C$66,AF18))*AL18)*AS18)+AW18)*VLOOKUP("IN-34",'Assumptions &amp; Inputs'!$A$31:$F$69,3,FALSE),0),0)</f>
        <v>2632.5</v>
      </c>
      <c r="BY18" s="4">
        <f>IF(BP18=1,((AJ18+(IF(R18="IN-07",'Assumptions &amp; Inputs'!$D$66,AG18))*AM18)*AS18)+AX18+(((AJ18+(IF(R18="IN-07",'Assumptions &amp; Inputs'!$D$66,AG18))*AM18)*AS18)*AZ18)+IF(BD18="Yes",(((AJ18+(IF(R18="IN-07",'Assumptions &amp; Inputs'!$D$66,AG18))*AM18)*AS18)+AX18)*VLOOKUP("IN-34",'Assumptions &amp; Inputs'!$A$31:$F$69,4,FALSE),0),0)</f>
        <v>3577.5</v>
      </c>
      <c r="BZ18" s="4">
        <f>IF(BP18=1,((AK18+(IF(R18="IN-07",'Assumptions &amp; Inputs'!$E$66,AH18))*AN18)*AS18)+AY18+(((AK18+(IF(R18="IN-07",'Assumptions &amp; Inputs'!$E$66,AH18))*AN18)*AS18)*AZ18)+IF(BD18="Yes",(((AK18+(IF(R18="IN-07",'Assumptions &amp; Inputs'!$E$66,AH18))*AN18)*AS18)+AY18)*VLOOKUP("IN-34",'Assumptions &amp; Inputs'!$A$31:$F$69,5,FALSE),0),0)</f>
        <v>11340</v>
      </c>
      <c r="CA18" s="4">
        <f>IF(BQ18=1,((AI18+(IF(R18="IN-07",'Assumptions &amp; Inputs'!$C$65,AF18))*AL18)*AS18)+AW18+(((AI18+(IF(R18="IN-07",'Assumptions &amp; Inputs'!$C$65,AF18))*AL18)*AS18)*AZ18)+IF(BD18="Yes",(((AI18+(IF(R18="IN-07",'Assumptions &amp; Inputs'!$C$65,AF18))*AL18)*AS18)+AW18)*VLOOKUP("IN-34",'Assumptions &amp; Inputs'!$A$31:$F$69,3,FALSE),0),0)</f>
        <v>2632.5</v>
      </c>
      <c r="CB18" s="4">
        <f>IF(BQ18=1,((AJ18+(IF(R18="IN-07",'Assumptions &amp; Inputs'!$D$65,AG18))*AM18)*AS18)+AX18+(((AJ18+(IF(R18="IN-07",'Assumptions &amp; Inputs'!$D$65,AG18))*AM18)*AS18)*AZ18)+IF(BD18="Yes",(((AJ18+(IF(R18="IN-07",'Assumptions &amp; Inputs'!$D$65,AG18))*AM18)*AS18)+AX18)*VLOOKUP("IN-34",'Assumptions &amp; Inputs'!$A$31:$F$69,4,FALSE),0),0)</f>
        <v>3577.5</v>
      </c>
      <c r="CC18" s="4">
        <f>IF(BQ18=1,((AK18+(IF(R18="IN-07",'Assumptions &amp; Inputs'!$E$65,AH18))*AN18)*AS18)+AY18+(((AK18+(IF(R18="IN-07",'Assumptions &amp; Inputs'!$E$65,AH18))*AN18)*AS18)*AZ18)+IF(BD18="Yes",(((AK18+(IF(R18="IN-07",'Assumptions &amp; Inputs'!$E$65,AH18))*AN18)*AS18)+AY18)*VLOOKUP("IN-34",'Assumptions &amp; Inputs'!$A$31:$F$69,5,FALSE),0),0)</f>
        <v>11340</v>
      </c>
      <c r="CD18" s="4">
        <f>IF(BR18=1,((AI18+(IF(R18="IN-07",'Assumptions &amp; Inputs'!$C$65,AF18))*AL18)*AS18)+AW18+(((AI18+(IF(R18="IN-07",'Assumptions &amp; Inputs'!$C$65,AF18))*AL18)*AS18)*AZ18)+IF(BD18="Yes",(((AI18+(IF(R18="IN-07",'Assumptions &amp; Inputs'!$C$65,AF18))*AL18)*AS18)+AW18)*VLOOKUP("IN-34",'Assumptions &amp; Inputs'!$A$31:$F$69,3,FALSE),0),0)</f>
        <v>2632.5</v>
      </c>
      <c r="CE18" s="4">
        <f>IF(BR18=1,((AJ18+(IF(R18="IN-07",'Assumptions &amp; Inputs'!$D$65,AG18))*AM18)*AS18)+AX18+(((AJ18+(IF(R18="IN-07",'Assumptions &amp; Inputs'!$D$65,AG18))*AM18)*AS18)*AZ18)+IF(BD18="Yes",(((AJ18+(IF(R18="IN-07",'Assumptions &amp; Inputs'!$D$65,AG18))*AM18)*AS18)+AX18)*VLOOKUP("IN-34",'Assumptions &amp; Inputs'!$A$31:$F$69,4,FALSE),0),0)</f>
        <v>3577.5</v>
      </c>
      <c r="CF18" s="4">
        <f>IF(BR18=1,((AK18+(IF(R18="IN-07",'Assumptions &amp; Inputs'!$E$65,AH18))*AN18)*AS18)+AY18+(((AK18+(IF(R18="IN-07",'Assumptions &amp; Inputs'!$E$65,AH18))*AN18)*AS18)*AZ18)+IF(BD18="Yes",(((AK18+(IF(R18="IN-07",'Assumptions &amp; Inputs'!$E$65,AH18))*AN18)*AS18)+AY18)*VLOOKUP("IN-34",'Assumptions &amp; Inputs'!$A$31:$F$69,5,FALSE),0),0)</f>
        <v>11340</v>
      </c>
      <c r="CG18" s="4">
        <f>IF(BS18=1,((AI18+(IF(R18="IN-07",0,AF18))*AL18)*AS18)+AW18+(((AI18+(IF(R18="IN-07",0,AF18))*AL18)*AS18)*AZ18)+IF(BD18="Yes",(((AI18+(IF(R18="IN-07",0,AF18))*AL18)*AS18)+AW18)*VLOOKUP("IN-34",'Assumptions &amp; Inputs'!$A$31:$F$69,3,FALSE),0),0)</f>
        <v>2632.5</v>
      </c>
      <c r="CH18" s="4">
        <f>IF(BS18=1,((AJ18+(IF(R18="IN-07",0,AG18))*AM18)*AS18)+AX18+(((AJ18+(IF(R18="IN-07",0,AG18))*AM18)*AS18)*AZ18)+IF(BD18="Yes",(((AJ18+(IF(R18="IN-07",0,AG18))*AM18)*AS18)+AX18)*VLOOKUP("IN-34",'Assumptions &amp; Inputs'!$A$31:$F$69,4,FALSE),0),0)</f>
        <v>3577.5</v>
      </c>
      <c r="CI18" s="4">
        <f>IF(BS18=1,((AK18+(IF(R18="IN-07",0,AH18))*AN18)*AS18)+AY18+(((AK18+(IF(R18="IN-07",0,AH18))*AN18)*AS18)*AZ18)+IF(BD18="Yes",(((AK18+(IF(R18="IN-07",0,AH18))*AN18)*AS18)+AY18)*VLOOKUP("IN-34",'Assumptions &amp; Inputs'!$A$31:$F$69,5,FALSE),0),0)</f>
        <v>11340</v>
      </c>
      <c r="CJ18" s="4">
        <f>IF(BT18=1,((AI18+(IF(R18="IN-07",0,AF18))*AL18)*AS18)+AW18+(((AI18+(IF(R18="IN-07",0,AF18))*AL18)*AS18)*AZ18)+IF(BD18="Yes",(((AI18+(IF(R18="IN-07",0,AF18))*AL18)*AS18)+AW18)*VLOOKUP("IN-34",'Assumptions &amp; Inputs'!$A$31:$F$69,3,FALSE),0),0)</f>
        <v>2632.5</v>
      </c>
      <c r="CK18" s="4">
        <f>IF(BT18=1,((AJ18+(IF(R18="IN-07",0,AG18))*AM18)*AS18)+AX18+(((AJ18+(IF(R18="IN-07",0,AG18))*AM18)*AS18)*AZ18)+IF(BD18="Yes",(((AJ18+(IF(R18="IN-07",0,AG18))*AM18)*AS18)+AX18)*VLOOKUP("IN-34",'Assumptions &amp; Inputs'!$A$31:$F$69,4,FALSE),0),0)</f>
        <v>3577.5</v>
      </c>
      <c r="CL18" s="4">
        <f>IF(BT18=1,((AK18+(IF(R18="IN-07",0,AH18))*AN18)*AS18)+AY18+(((AK18+(IF(R18="IN-07",0,AH18))*AN18)*AS18)*AZ18)+IF(BD18="Yes",(((AK18+(IF(R18="IN-07",0,AH18))*AN18)*AS18)+AY18)*VLOOKUP("IN-34",'Assumptions &amp; Inputs'!$A$31:$F$69,5,FALSE),0),0)</f>
        <v>11340</v>
      </c>
    </row>
    <row r="19" spans="1:90" ht="43.5" x14ac:dyDescent="0.35">
      <c r="A19" s="50" t="s">
        <v>737</v>
      </c>
      <c r="B19" s="50" t="s">
        <v>738</v>
      </c>
      <c r="C19" s="50" t="s">
        <v>47</v>
      </c>
      <c r="D19" s="50" t="s">
        <v>57</v>
      </c>
      <c r="E19" s="50" t="s">
        <v>739</v>
      </c>
      <c r="F19" s="50" t="s">
        <v>740</v>
      </c>
      <c r="G19" s="50" t="s">
        <v>741</v>
      </c>
      <c r="H19" s="50" t="s">
        <v>742</v>
      </c>
      <c r="I19" s="50" t="s">
        <v>158</v>
      </c>
      <c r="J19" s="50" t="s">
        <v>743</v>
      </c>
      <c r="K19" s="50" t="s">
        <v>161</v>
      </c>
      <c r="L19" s="50" t="s">
        <v>158</v>
      </c>
      <c r="M19" s="50" t="s">
        <v>532</v>
      </c>
      <c r="N19" s="50" t="s">
        <v>156</v>
      </c>
      <c r="O19" s="50" t="s">
        <v>533</v>
      </c>
      <c r="P19" s="50" t="s">
        <v>176</v>
      </c>
      <c r="Q19" s="50" t="s">
        <v>744</v>
      </c>
      <c r="R19" s="50" t="s">
        <v>361</v>
      </c>
      <c r="S19" s="50" t="s">
        <v>745</v>
      </c>
      <c r="T19" s="50" t="s">
        <v>746</v>
      </c>
      <c r="U19" s="50" t="s">
        <v>747</v>
      </c>
      <c r="V19" s="50" t="s">
        <v>539</v>
      </c>
      <c r="W19" s="50" t="s">
        <v>540</v>
      </c>
      <c r="X19" s="50" t="s">
        <v>647</v>
      </c>
      <c r="Y19" s="50" t="s">
        <v>748</v>
      </c>
      <c r="Z19" s="50" t="s">
        <v>543</v>
      </c>
      <c r="AA19" s="50" t="s">
        <v>749</v>
      </c>
      <c r="AB19" s="50" t="s">
        <v>545</v>
      </c>
      <c r="AC19" s="50" t="s">
        <v>750</v>
      </c>
      <c r="AD19" s="50" t="s">
        <v>751</v>
      </c>
      <c r="AE19" s="16">
        <f>IF(ISNUMBER(SEARCH('Scenario Definitions'!$C$5,N19)),1,0)</f>
        <v>1</v>
      </c>
      <c r="AF19" s="16">
        <f>IFERROR(VLOOKUP(R19,'Assumptions &amp; Inputs'!$A$31:$F$69,3,FALSE),0)</f>
        <v>2</v>
      </c>
      <c r="AG19" s="16">
        <f>IFERROR(VLOOKUP(R19,'Assumptions &amp; Inputs'!$A$31:$F$69,4,FALSE),0)</f>
        <v>4</v>
      </c>
      <c r="AH19" s="17">
        <f>IFERROR(VLOOKUP(R19,'Assumptions &amp; Inputs'!$A$31:$F$69,5,FALSE),0)</f>
        <v>6</v>
      </c>
      <c r="AI19" s="11">
        <v>0</v>
      </c>
      <c r="AJ19" s="11">
        <v>0</v>
      </c>
      <c r="AK19" s="11">
        <v>0</v>
      </c>
      <c r="AL19" s="11">
        <v>15</v>
      </c>
      <c r="AM19" s="11">
        <v>20</v>
      </c>
      <c r="AN19" s="11">
        <v>30</v>
      </c>
      <c r="AO19" s="36">
        <f t="shared" si="0"/>
        <v>30</v>
      </c>
      <c r="AP19" s="16">
        <f t="shared" si="1"/>
        <v>80</v>
      </c>
      <c r="AQ19" s="17">
        <f t="shared" si="2"/>
        <v>180</v>
      </c>
      <c r="AR19" s="58" t="s">
        <v>410</v>
      </c>
      <c r="AS19" s="32">
        <f>IFERROR(VLOOKUP(AR19,'Assumptions &amp; Inputs'!$A$73:$I$100,9,FALSE),0)</f>
        <v>95</v>
      </c>
      <c r="AT19" s="24">
        <f t="shared" si="3"/>
        <v>2850</v>
      </c>
      <c r="AU19" s="24">
        <f t="shared" si="4"/>
        <v>7600</v>
      </c>
      <c r="AV19" s="25">
        <f t="shared" si="5"/>
        <v>17100</v>
      </c>
      <c r="AW19" s="57">
        <v>1500</v>
      </c>
      <c r="AX19" s="57">
        <v>4000</v>
      </c>
      <c r="AY19" s="57">
        <v>10000</v>
      </c>
      <c r="AZ19" s="32">
        <f>IFERROR(VLOOKUP(C19,'Assumptions &amp; Inputs'!$A$104:$B$107,2,FALSE),0)</f>
        <v>0.25</v>
      </c>
      <c r="BA19" s="24">
        <f t="shared" si="6"/>
        <v>712.5</v>
      </c>
      <c r="BB19" s="24">
        <f t="shared" si="7"/>
        <v>1900</v>
      </c>
      <c r="BC19" s="25">
        <f t="shared" si="8"/>
        <v>4275</v>
      </c>
      <c r="BD19" s="57" t="s">
        <v>209</v>
      </c>
      <c r="BE19" s="32">
        <f>IF(BD19="Yes",(AT19+AW19)*VLOOKUP("IN-34",'Assumptions &amp; Inputs'!$A$31:$F$69,3,FALSE),0)</f>
        <v>217.5</v>
      </c>
      <c r="BF19" s="24">
        <f>IF(BD19="Yes",(AU19+AX19)*VLOOKUP("IN-34",'Assumptions &amp; Inputs'!$A$31:$F$69,4,FALSE),0)</f>
        <v>870</v>
      </c>
      <c r="BG19" s="24">
        <f>IF(BD19="Yes",(AV19+AY19)*VLOOKUP("IN-34",'Assumptions &amp; Inputs'!$A$31:$F$69,5,FALSE),0)</f>
        <v>4065</v>
      </c>
      <c r="BH19" s="24">
        <f t="shared" si="9"/>
        <v>5280</v>
      </c>
      <c r="BI19" s="24">
        <f t="shared" si="10"/>
        <v>14370</v>
      </c>
      <c r="BJ19" s="25">
        <f t="shared" si="11"/>
        <v>35440</v>
      </c>
      <c r="BK19" s="58" t="s">
        <v>548</v>
      </c>
      <c r="BL19" s="58" t="s">
        <v>549</v>
      </c>
      <c r="BM19" s="58" t="s">
        <v>749</v>
      </c>
      <c r="BN19" s="58" t="s">
        <v>550</v>
      </c>
      <c r="BO19" s="5">
        <f t="shared" si="12"/>
        <v>1</v>
      </c>
      <c r="BP19" s="5">
        <f t="shared" si="13"/>
        <v>1</v>
      </c>
      <c r="BQ19" s="5">
        <f t="shared" si="14"/>
        <v>1</v>
      </c>
      <c r="BR19" s="5">
        <f t="shared" si="15"/>
        <v>1</v>
      </c>
      <c r="BS19" s="5">
        <f t="shared" si="16"/>
        <v>1</v>
      </c>
      <c r="BT19" s="5">
        <f t="shared" si="17"/>
        <v>1</v>
      </c>
      <c r="BU19" s="4">
        <f>IF(BO19=1,((AI19+(IF(R19="IN-07",'Assumptions &amp; Inputs'!$C$66,AF19))*AL19)*AS19)+AW19+(((AI19+(IF(R19="IN-07",'Assumptions &amp; Inputs'!$C$66,AF19))*AL19)*AS19)*AZ19)+IF(BD19="Yes",(((AI19+(IF(R19="IN-07",'Assumptions &amp; Inputs'!$C$66,AF19))*AL19)*AS19)+AW19)*VLOOKUP("IN-34",'Assumptions &amp; Inputs'!$A$31:$F$69,3,FALSE),0),0)</f>
        <v>5280</v>
      </c>
      <c r="BV19" s="4">
        <f>IF(BO19=1,((AJ19+(IF(R19="IN-07",'Assumptions &amp; Inputs'!$D$66,AG19))*AM19)*AS19)+AX19+(((AJ19+(IF(R19="IN-07",'Assumptions &amp; Inputs'!$D$66,AG19))*AM19)*AS19)*AZ19)+IF(BD19="Yes",(((AJ19+(IF(R19="IN-07",'Assumptions &amp; Inputs'!$D$66,AG19))*AM19)*AS19)+AX19)*VLOOKUP("IN-34",'Assumptions &amp; Inputs'!$A$31:$F$69,4,FALSE),0),0)</f>
        <v>14370</v>
      </c>
      <c r="BW19" s="4">
        <f>IF(BO19=1,((AK19+(IF(R19="IN-07",'Assumptions &amp; Inputs'!$E$66,AH19))*AN19)*AS19)+AY19+(((AK19+(IF(R19="IN-07",'Assumptions &amp; Inputs'!$E$66,AH19))*AN19)*AS19)*AZ19)+IF(BD19="Yes",(((AK19+(IF(R19="IN-07",'Assumptions &amp; Inputs'!$E$66,AH19))*AN19)*AS19)+AY19)*VLOOKUP("IN-34",'Assumptions &amp; Inputs'!$A$31:$F$69,5,FALSE),0),0)</f>
        <v>35440</v>
      </c>
      <c r="BX19" s="4">
        <f>IF(BP19=1,((AI19+(IF(R19="IN-07",'Assumptions &amp; Inputs'!$C$66,AF19))*AL19)*AS19)+AW19+(((AI19+(IF(R19="IN-07",'Assumptions &amp; Inputs'!$C$66,AF19))*AL19)*AS19)*AZ19)+IF(BD19="Yes",(((AI19+(IF(R19="IN-07",'Assumptions &amp; Inputs'!$C$66,AF19))*AL19)*AS19)+AW19)*VLOOKUP("IN-34",'Assumptions &amp; Inputs'!$A$31:$F$69,3,FALSE),0),0)</f>
        <v>5280</v>
      </c>
      <c r="BY19" s="4">
        <f>IF(BP19=1,((AJ19+(IF(R19="IN-07",'Assumptions &amp; Inputs'!$D$66,AG19))*AM19)*AS19)+AX19+(((AJ19+(IF(R19="IN-07",'Assumptions &amp; Inputs'!$D$66,AG19))*AM19)*AS19)*AZ19)+IF(BD19="Yes",(((AJ19+(IF(R19="IN-07",'Assumptions &amp; Inputs'!$D$66,AG19))*AM19)*AS19)+AX19)*VLOOKUP("IN-34",'Assumptions &amp; Inputs'!$A$31:$F$69,4,FALSE),0),0)</f>
        <v>14370</v>
      </c>
      <c r="BZ19" s="4">
        <f>IF(BP19=1,((AK19+(IF(R19="IN-07",'Assumptions &amp; Inputs'!$E$66,AH19))*AN19)*AS19)+AY19+(((AK19+(IF(R19="IN-07",'Assumptions &amp; Inputs'!$E$66,AH19))*AN19)*AS19)*AZ19)+IF(BD19="Yes",(((AK19+(IF(R19="IN-07",'Assumptions &amp; Inputs'!$E$66,AH19))*AN19)*AS19)+AY19)*VLOOKUP("IN-34",'Assumptions &amp; Inputs'!$A$31:$F$69,5,FALSE),0),0)</f>
        <v>35440</v>
      </c>
      <c r="CA19" s="4">
        <f>IF(BQ19=1,((AI19+(IF(R19="IN-07",'Assumptions &amp; Inputs'!$C$65,AF19))*AL19)*AS19)+AW19+(((AI19+(IF(R19="IN-07",'Assumptions &amp; Inputs'!$C$65,AF19))*AL19)*AS19)*AZ19)+IF(BD19="Yes",(((AI19+(IF(R19="IN-07",'Assumptions &amp; Inputs'!$C$65,AF19))*AL19)*AS19)+AW19)*VLOOKUP("IN-34",'Assumptions &amp; Inputs'!$A$31:$F$69,3,FALSE),0),0)</f>
        <v>5280</v>
      </c>
      <c r="CB19" s="4">
        <f>IF(BQ19=1,((AJ19+(IF(R19="IN-07",'Assumptions &amp; Inputs'!$D$65,AG19))*AM19)*AS19)+AX19+(((AJ19+(IF(R19="IN-07",'Assumptions &amp; Inputs'!$D$65,AG19))*AM19)*AS19)*AZ19)+IF(BD19="Yes",(((AJ19+(IF(R19="IN-07",'Assumptions &amp; Inputs'!$D$65,AG19))*AM19)*AS19)+AX19)*VLOOKUP("IN-34",'Assumptions &amp; Inputs'!$A$31:$F$69,4,FALSE),0),0)</f>
        <v>14370</v>
      </c>
      <c r="CC19" s="4">
        <f>IF(BQ19=1,((AK19+(IF(R19="IN-07",'Assumptions &amp; Inputs'!$E$65,AH19))*AN19)*AS19)+AY19+(((AK19+(IF(R19="IN-07",'Assumptions &amp; Inputs'!$E$65,AH19))*AN19)*AS19)*AZ19)+IF(BD19="Yes",(((AK19+(IF(R19="IN-07",'Assumptions &amp; Inputs'!$E$65,AH19))*AN19)*AS19)+AY19)*VLOOKUP("IN-34",'Assumptions &amp; Inputs'!$A$31:$F$69,5,FALSE),0),0)</f>
        <v>35440</v>
      </c>
      <c r="CD19" s="4">
        <f>IF(BR19=1,((AI19+(IF(R19="IN-07",'Assumptions &amp; Inputs'!$C$65,AF19))*AL19)*AS19)+AW19+(((AI19+(IF(R19="IN-07",'Assumptions &amp; Inputs'!$C$65,AF19))*AL19)*AS19)*AZ19)+IF(BD19="Yes",(((AI19+(IF(R19="IN-07",'Assumptions &amp; Inputs'!$C$65,AF19))*AL19)*AS19)+AW19)*VLOOKUP("IN-34",'Assumptions &amp; Inputs'!$A$31:$F$69,3,FALSE),0),0)</f>
        <v>5280</v>
      </c>
      <c r="CE19" s="4">
        <f>IF(BR19=1,((AJ19+(IF(R19="IN-07",'Assumptions &amp; Inputs'!$D$65,AG19))*AM19)*AS19)+AX19+(((AJ19+(IF(R19="IN-07",'Assumptions &amp; Inputs'!$D$65,AG19))*AM19)*AS19)*AZ19)+IF(BD19="Yes",(((AJ19+(IF(R19="IN-07",'Assumptions &amp; Inputs'!$D$65,AG19))*AM19)*AS19)+AX19)*VLOOKUP("IN-34",'Assumptions &amp; Inputs'!$A$31:$F$69,4,FALSE),0),0)</f>
        <v>14370</v>
      </c>
      <c r="CF19" s="4">
        <f>IF(BR19=1,((AK19+(IF(R19="IN-07",'Assumptions &amp; Inputs'!$E$65,AH19))*AN19)*AS19)+AY19+(((AK19+(IF(R19="IN-07",'Assumptions &amp; Inputs'!$E$65,AH19))*AN19)*AS19)*AZ19)+IF(BD19="Yes",(((AK19+(IF(R19="IN-07",'Assumptions &amp; Inputs'!$E$65,AH19))*AN19)*AS19)+AY19)*VLOOKUP("IN-34",'Assumptions &amp; Inputs'!$A$31:$F$69,5,FALSE),0),0)</f>
        <v>35440</v>
      </c>
      <c r="CG19" s="4">
        <f>IF(BS19=1,((AI19+(IF(R19="IN-07",0,AF19))*AL19)*AS19)+AW19+(((AI19+(IF(R19="IN-07",0,AF19))*AL19)*AS19)*AZ19)+IF(BD19="Yes",(((AI19+(IF(R19="IN-07",0,AF19))*AL19)*AS19)+AW19)*VLOOKUP("IN-34",'Assumptions &amp; Inputs'!$A$31:$F$69,3,FALSE),0),0)</f>
        <v>5280</v>
      </c>
      <c r="CH19" s="4">
        <f>IF(BS19=1,((AJ19+(IF(R19="IN-07",0,AG19))*AM19)*AS19)+AX19+(((AJ19+(IF(R19="IN-07",0,AG19))*AM19)*AS19)*AZ19)+IF(BD19="Yes",(((AJ19+(IF(R19="IN-07",0,AG19))*AM19)*AS19)+AX19)*VLOOKUP("IN-34",'Assumptions &amp; Inputs'!$A$31:$F$69,4,FALSE),0),0)</f>
        <v>14370</v>
      </c>
      <c r="CI19" s="4">
        <f>IF(BS19=1,((AK19+(IF(R19="IN-07",0,AH19))*AN19)*AS19)+AY19+(((AK19+(IF(R19="IN-07",0,AH19))*AN19)*AS19)*AZ19)+IF(BD19="Yes",(((AK19+(IF(R19="IN-07",0,AH19))*AN19)*AS19)+AY19)*VLOOKUP("IN-34",'Assumptions &amp; Inputs'!$A$31:$F$69,5,FALSE),0),0)</f>
        <v>35440</v>
      </c>
      <c r="CJ19" s="4">
        <f>IF(BT19=1,((AI19+(IF(R19="IN-07",0,AF19))*AL19)*AS19)+AW19+(((AI19+(IF(R19="IN-07",0,AF19))*AL19)*AS19)*AZ19)+IF(BD19="Yes",(((AI19+(IF(R19="IN-07",0,AF19))*AL19)*AS19)+AW19)*VLOOKUP("IN-34",'Assumptions &amp; Inputs'!$A$31:$F$69,3,FALSE),0),0)</f>
        <v>5280</v>
      </c>
      <c r="CK19" s="4">
        <f>IF(BT19=1,((AJ19+(IF(R19="IN-07",0,AG19))*AM19)*AS19)+AX19+(((AJ19+(IF(R19="IN-07",0,AG19))*AM19)*AS19)*AZ19)+IF(BD19="Yes",(((AJ19+(IF(R19="IN-07",0,AG19))*AM19)*AS19)+AX19)*VLOOKUP("IN-34",'Assumptions &amp; Inputs'!$A$31:$F$69,4,FALSE),0),0)</f>
        <v>14370</v>
      </c>
      <c r="CL19" s="4">
        <f>IF(BT19=1,((AK19+(IF(R19="IN-07",0,AH19))*AN19)*AS19)+AY19+(((AK19+(IF(R19="IN-07",0,AH19))*AN19)*AS19)*AZ19)+IF(BD19="Yes",(((AK19+(IF(R19="IN-07",0,AH19))*AN19)*AS19)+AY19)*VLOOKUP("IN-34",'Assumptions &amp; Inputs'!$A$31:$F$69,5,FALSE),0),0)</f>
        <v>35440</v>
      </c>
    </row>
    <row r="20" spans="1:90" ht="43.5" x14ac:dyDescent="0.35">
      <c r="A20" s="50" t="s">
        <v>752</v>
      </c>
      <c r="B20" s="50" t="s">
        <v>753</v>
      </c>
      <c r="C20" s="50" t="s">
        <v>47</v>
      </c>
      <c r="D20" s="50" t="s">
        <v>58</v>
      </c>
      <c r="E20" s="50" t="s">
        <v>754</v>
      </c>
      <c r="F20" s="50" t="s">
        <v>755</v>
      </c>
      <c r="G20" s="50" t="s">
        <v>756</v>
      </c>
      <c r="H20" s="50" t="s">
        <v>757</v>
      </c>
      <c r="I20" s="50" t="s">
        <v>158</v>
      </c>
      <c r="J20" s="50" t="s">
        <v>758</v>
      </c>
      <c r="K20" s="50" t="s">
        <v>161</v>
      </c>
      <c r="L20" s="50" t="s">
        <v>158</v>
      </c>
      <c r="M20" s="50" t="s">
        <v>532</v>
      </c>
      <c r="N20" s="50" t="s">
        <v>156</v>
      </c>
      <c r="O20" s="50" t="s">
        <v>533</v>
      </c>
      <c r="P20" s="50" t="s">
        <v>556</v>
      </c>
      <c r="Q20" s="50" t="s">
        <v>759</v>
      </c>
      <c r="R20" s="50" t="s">
        <v>341</v>
      </c>
      <c r="S20" s="50" t="s">
        <v>558</v>
      </c>
      <c r="T20" s="50" t="s">
        <v>760</v>
      </c>
      <c r="U20" s="50" t="s">
        <v>761</v>
      </c>
      <c r="V20" s="50" t="s">
        <v>539</v>
      </c>
      <c r="W20" s="50" t="s">
        <v>689</v>
      </c>
      <c r="X20" s="50" t="s">
        <v>690</v>
      </c>
      <c r="Y20" s="50" t="s">
        <v>762</v>
      </c>
      <c r="Z20" s="50" t="s">
        <v>763</v>
      </c>
      <c r="AA20" s="50" t="s">
        <v>764</v>
      </c>
      <c r="AB20" s="50" t="s">
        <v>545</v>
      </c>
      <c r="AC20" s="50" t="s">
        <v>765</v>
      </c>
      <c r="AD20" s="50" t="s">
        <v>766</v>
      </c>
      <c r="AE20" s="16">
        <f>IF(ISNUMBER(SEARCH('Scenario Definitions'!$C$5,N20)),1,0)</f>
        <v>1</v>
      </c>
      <c r="AF20" s="16">
        <f>IFERROR(VLOOKUP(R20,'Assumptions &amp; Inputs'!$A$31:$F$69,3,FALSE),0)</f>
        <v>6</v>
      </c>
      <c r="AG20" s="16">
        <f>IFERROR(VLOOKUP(R20,'Assumptions &amp; Inputs'!$A$31:$F$69,4,FALSE),0)</f>
        <v>9</v>
      </c>
      <c r="AH20" s="17">
        <f>IFERROR(VLOOKUP(R20,'Assumptions &amp; Inputs'!$A$31:$F$69,5,FALSE),0)</f>
        <v>9</v>
      </c>
      <c r="AI20" s="11">
        <v>0</v>
      </c>
      <c r="AJ20" s="11">
        <v>0</v>
      </c>
      <c r="AK20" s="11">
        <v>0</v>
      </c>
      <c r="AL20" s="11">
        <v>18</v>
      </c>
      <c r="AM20" s="11">
        <v>24</v>
      </c>
      <c r="AN20" s="11">
        <v>36</v>
      </c>
      <c r="AO20" s="36">
        <f t="shared" si="0"/>
        <v>108</v>
      </c>
      <c r="AP20" s="16">
        <f t="shared" si="1"/>
        <v>216</v>
      </c>
      <c r="AQ20" s="17">
        <f t="shared" si="2"/>
        <v>324</v>
      </c>
      <c r="AR20" s="58" t="s">
        <v>414</v>
      </c>
      <c r="AS20" s="32">
        <f>IFERROR(VLOOKUP(AR20,'Assumptions &amp; Inputs'!$A$73:$I$100,9,FALSE),0)</f>
        <v>85</v>
      </c>
      <c r="AT20" s="24">
        <f t="shared" si="3"/>
        <v>9180</v>
      </c>
      <c r="AU20" s="24">
        <f t="shared" si="4"/>
        <v>18360</v>
      </c>
      <c r="AV20" s="25">
        <f t="shared" si="5"/>
        <v>27540</v>
      </c>
      <c r="AW20" s="57">
        <v>6000</v>
      </c>
      <c r="AX20" s="57">
        <v>12000</v>
      </c>
      <c r="AY20" s="57">
        <v>30000</v>
      </c>
      <c r="AZ20" s="32">
        <f>IFERROR(VLOOKUP(C20,'Assumptions &amp; Inputs'!$A$104:$B$107,2,FALSE),0)</f>
        <v>0.25</v>
      </c>
      <c r="BA20" s="24">
        <f t="shared" si="6"/>
        <v>2295</v>
      </c>
      <c r="BB20" s="24">
        <f t="shared" si="7"/>
        <v>4590</v>
      </c>
      <c r="BC20" s="25">
        <f t="shared" si="8"/>
        <v>6885</v>
      </c>
      <c r="BD20" s="57" t="s">
        <v>209</v>
      </c>
      <c r="BE20" s="32">
        <f>IF(BD20="Yes",(AT20+AW20)*VLOOKUP("IN-34",'Assumptions &amp; Inputs'!$A$31:$F$69,3,FALSE),0)</f>
        <v>759</v>
      </c>
      <c r="BF20" s="24">
        <f>IF(BD20="Yes",(AU20+AX20)*VLOOKUP("IN-34",'Assumptions &amp; Inputs'!$A$31:$F$69,4,FALSE),0)</f>
        <v>2277</v>
      </c>
      <c r="BG20" s="24">
        <f>IF(BD20="Yes",(AV20+AY20)*VLOOKUP("IN-34",'Assumptions &amp; Inputs'!$A$31:$F$69,5,FALSE),0)</f>
        <v>8631</v>
      </c>
      <c r="BH20" s="24">
        <f t="shared" si="9"/>
        <v>18234</v>
      </c>
      <c r="BI20" s="24">
        <f t="shared" si="10"/>
        <v>37227</v>
      </c>
      <c r="BJ20" s="25">
        <f t="shared" si="11"/>
        <v>73056</v>
      </c>
      <c r="BK20" s="58" t="s">
        <v>548</v>
      </c>
      <c r="BL20" s="58" t="s">
        <v>549</v>
      </c>
      <c r="BM20" s="58" t="s">
        <v>764</v>
      </c>
      <c r="BN20" s="58" t="s">
        <v>550</v>
      </c>
      <c r="BO20" s="5">
        <f t="shared" si="12"/>
        <v>1</v>
      </c>
      <c r="BP20" s="5">
        <f t="shared" si="13"/>
        <v>1</v>
      </c>
      <c r="BQ20" s="5">
        <f t="shared" si="14"/>
        <v>1</v>
      </c>
      <c r="BR20" s="5">
        <f t="shared" si="15"/>
        <v>1</v>
      </c>
      <c r="BS20" s="5">
        <f t="shared" si="16"/>
        <v>1</v>
      </c>
      <c r="BT20" s="5">
        <f t="shared" si="17"/>
        <v>1</v>
      </c>
      <c r="BU20" s="4">
        <f>IF(BO20=1,((AI20+(IF(R20="IN-07",'Assumptions &amp; Inputs'!$C$66,AF20))*AL20)*AS20)+AW20+(((AI20+(IF(R20="IN-07",'Assumptions &amp; Inputs'!$C$66,AF20))*AL20)*AS20)*AZ20)+IF(BD20="Yes",(((AI20+(IF(R20="IN-07",'Assumptions &amp; Inputs'!$C$66,AF20))*AL20)*AS20)+AW20)*VLOOKUP("IN-34",'Assumptions &amp; Inputs'!$A$31:$F$69,3,FALSE),0),0)</f>
        <v>18234</v>
      </c>
      <c r="BV20" s="4">
        <f>IF(BO20=1,((AJ20+(IF(R20="IN-07",'Assumptions &amp; Inputs'!$D$66,AG20))*AM20)*AS20)+AX20+(((AJ20+(IF(R20="IN-07",'Assumptions &amp; Inputs'!$D$66,AG20))*AM20)*AS20)*AZ20)+IF(BD20="Yes",(((AJ20+(IF(R20="IN-07",'Assumptions &amp; Inputs'!$D$66,AG20))*AM20)*AS20)+AX20)*VLOOKUP("IN-34",'Assumptions &amp; Inputs'!$A$31:$F$69,4,FALSE),0),0)</f>
        <v>37227</v>
      </c>
      <c r="BW20" s="4">
        <f>IF(BO20=1,((AK20+(IF(R20="IN-07",'Assumptions &amp; Inputs'!$E$66,AH20))*AN20)*AS20)+AY20+(((AK20+(IF(R20="IN-07",'Assumptions &amp; Inputs'!$E$66,AH20))*AN20)*AS20)*AZ20)+IF(BD20="Yes",(((AK20+(IF(R20="IN-07",'Assumptions &amp; Inputs'!$E$66,AH20))*AN20)*AS20)+AY20)*VLOOKUP("IN-34",'Assumptions &amp; Inputs'!$A$31:$F$69,5,FALSE),0),0)</f>
        <v>73056</v>
      </c>
      <c r="BX20" s="4">
        <f>IF(BP20=1,((AI20+(IF(R20="IN-07",'Assumptions &amp; Inputs'!$C$66,AF20))*AL20)*AS20)+AW20+(((AI20+(IF(R20="IN-07",'Assumptions &amp; Inputs'!$C$66,AF20))*AL20)*AS20)*AZ20)+IF(BD20="Yes",(((AI20+(IF(R20="IN-07",'Assumptions &amp; Inputs'!$C$66,AF20))*AL20)*AS20)+AW20)*VLOOKUP("IN-34",'Assumptions &amp; Inputs'!$A$31:$F$69,3,FALSE),0),0)</f>
        <v>18234</v>
      </c>
      <c r="BY20" s="4">
        <f>IF(BP20=1,((AJ20+(IF(R20="IN-07",'Assumptions &amp; Inputs'!$D$66,AG20))*AM20)*AS20)+AX20+(((AJ20+(IF(R20="IN-07",'Assumptions &amp; Inputs'!$D$66,AG20))*AM20)*AS20)*AZ20)+IF(BD20="Yes",(((AJ20+(IF(R20="IN-07",'Assumptions &amp; Inputs'!$D$66,AG20))*AM20)*AS20)+AX20)*VLOOKUP("IN-34",'Assumptions &amp; Inputs'!$A$31:$F$69,4,FALSE),0),0)</f>
        <v>37227</v>
      </c>
      <c r="BZ20" s="4">
        <f>IF(BP20=1,((AK20+(IF(R20="IN-07",'Assumptions &amp; Inputs'!$E$66,AH20))*AN20)*AS20)+AY20+(((AK20+(IF(R20="IN-07",'Assumptions &amp; Inputs'!$E$66,AH20))*AN20)*AS20)*AZ20)+IF(BD20="Yes",(((AK20+(IF(R20="IN-07",'Assumptions &amp; Inputs'!$E$66,AH20))*AN20)*AS20)+AY20)*VLOOKUP("IN-34",'Assumptions &amp; Inputs'!$A$31:$F$69,5,FALSE),0),0)</f>
        <v>73056</v>
      </c>
      <c r="CA20" s="4">
        <f>IF(BQ20=1,((AI20+(IF(R20="IN-07",'Assumptions &amp; Inputs'!$C$65,AF20))*AL20)*AS20)+AW20+(((AI20+(IF(R20="IN-07",'Assumptions &amp; Inputs'!$C$65,AF20))*AL20)*AS20)*AZ20)+IF(BD20="Yes",(((AI20+(IF(R20="IN-07",'Assumptions &amp; Inputs'!$C$65,AF20))*AL20)*AS20)+AW20)*VLOOKUP("IN-34",'Assumptions &amp; Inputs'!$A$31:$F$69,3,FALSE),0),0)</f>
        <v>18234</v>
      </c>
      <c r="CB20" s="4">
        <f>IF(BQ20=1,((AJ20+(IF(R20="IN-07",'Assumptions &amp; Inputs'!$D$65,AG20))*AM20)*AS20)+AX20+(((AJ20+(IF(R20="IN-07",'Assumptions &amp; Inputs'!$D$65,AG20))*AM20)*AS20)*AZ20)+IF(BD20="Yes",(((AJ20+(IF(R20="IN-07",'Assumptions &amp; Inputs'!$D$65,AG20))*AM20)*AS20)+AX20)*VLOOKUP("IN-34",'Assumptions &amp; Inputs'!$A$31:$F$69,4,FALSE),0),0)</f>
        <v>37227</v>
      </c>
      <c r="CC20" s="4">
        <f>IF(BQ20=1,((AK20+(IF(R20="IN-07",'Assumptions &amp; Inputs'!$E$65,AH20))*AN20)*AS20)+AY20+(((AK20+(IF(R20="IN-07",'Assumptions &amp; Inputs'!$E$65,AH20))*AN20)*AS20)*AZ20)+IF(BD20="Yes",(((AK20+(IF(R20="IN-07",'Assumptions &amp; Inputs'!$E$65,AH20))*AN20)*AS20)+AY20)*VLOOKUP("IN-34",'Assumptions &amp; Inputs'!$A$31:$F$69,5,FALSE),0),0)</f>
        <v>73056</v>
      </c>
      <c r="CD20" s="4">
        <f>IF(BR20=1,((AI20+(IF(R20="IN-07",'Assumptions &amp; Inputs'!$C$65,AF20))*AL20)*AS20)+AW20+(((AI20+(IF(R20="IN-07",'Assumptions &amp; Inputs'!$C$65,AF20))*AL20)*AS20)*AZ20)+IF(BD20="Yes",(((AI20+(IF(R20="IN-07",'Assumptions &amp; Inputs'!$C$65,AF20))*AL20)*AS20)+AW20)*VLOOKUP("IN-34",'Assumptions &amp; Inputs'!$A$31:$F$69,3,FALSE),0),0)</f>
        <v>18234</v>
      </c>
      <c r="CE20" s="4">
        <f>IF(BR20=1,((AJ20+(IF(R20="IN-07",'Assumptions &amp; Inputs'!$D$65,AG20))*AM20)*AS20)+AX20+(((AJ20+(IF(R20="IN-07",'Assumptions &amp; Inputs'!$D$65,AG20))*AM20)*AS20)*AZ20)+IF(BD20="Yes",(((AJ20+(IF(R20="IN-07",'Assumptions &amp; Inputs'!$D$65,AG20))*AM20)*AS20)+AX20)*VLOOKUP("IN-34",'Assumptions &amp; Inputs'!$A$31:$F$69,4,FALSE),0),0)</f>
        <v>37227</v>
      </c>
      <c r="CF20" s="4">
        <f>IF(BR20=1,((AK20+(IF(R20="IN-07",'Assumptions &amp; Inputs'!$E$65,AH20))*AN20)*AS20)+AY20+(((AK20+(IF(R20="IN-07",'Assumptions &amp; Inputs'!$E$65,AH20))*AN20)*AS20)*AZ20)+IF(BD20="Yes",(((AK20+(IF(R20="IN-07",'Assumptions &amp; Inputs'!$E$65,AH20))*AN20)*AS20)+AY20)*VLOOKUP("IN-34",'Assumptions &amp; Inputs'!$A$31:$F$69,5,FALSE),0),0)</f>
        <v>73056</v>
      </c>
      <c r="CG20" s="4">
        <f>IF(BS20=1,((AI20+(IF(R20="IN-07",0,AF20))*AL20)*AS20)+AW20+(((AI20+(IF(R20="IN-07",0,AF20))*AL20)*AS20)*AZ20)+IF(BD20="Yes",(((AI20+(IF(R20="IN-07",0,AF20))*AL20)*AS20)+AW20)*VLOOKUP("IN-34",'Assumptions &amp; Inputs'!$A$31:$F$69,3,FALSE),0),0)</f>
        <v>18234</v>
      </c>
      <c r="CH20" s="4">
        <f>IF(BS20=1,((AJ20+(IF(R20="IN-07",0,AG20))*AM20)*AS20)+AX20+(((AJ20+(IF(R20="IN-07",0,AG20))*AM20)*AS20)*AZ20)+IF(BD20="Yes",(((AJ20+(IF(R20="IN-07",0,AG20))*AM20)*AS20)+AX20)*VLOOKUP("IN-34",'Assumptions &amp; Inputs'!$A$31:$F$69,4,FALSE),0),0)</f>
        <v>37227</v>
      </c>
      <c r="CI20" s="4">
        <f>IF(BS20=1,((AK20+(IF(R20="IN-07",0,AH20))*AN20)*AS20)+AY20+(((AK20+(IF(R20="IN-07",0,AH20))*AN20)*AS20)*AZ20)+IF(BD20="Yes",(((AK20+(IF(R20="IN-07",0,AH20))*AN20)*AS20)+AY20)*VLOOKUP("IN-34",'Assumptions &amp; Inputs'!$A$31:$F$69,5,FALSE),0),0)</f>
        <v>73056</v>
      </c>
      <c r="CJ20" s="4">
        <f>IF(BT20=1,((AI20+(IF(R20="IN-07",0,AF20))*AL20)*AS20)+AW20+(((AI20+(IF(R20="IN-07",0,AF20))*AL20)*AS20)*AZ20)+IF(BD20="Yes",(((AI20+(IF(R20="IN-07",0,AF20))*AL20)*AS20)+AW20)*VLOOKUP("IN-34",'Assumptions &amp; Inputs'!$A$31:$F$69,3,FALSE),0),0)</f>
        <v>18234</v>
      </c>
      <c r="CK20" s="4">
        <f>IF(BT20=1,((AJ20+(IF(R20="IN-07",0,AG20))*AM20)*AS20)+AX20+(((AJ20+(IF(R20="IN-07",0,AG20))*AM20)*AS20)*AZ20)+IF(BD20="Yes",(((AJ20+(IF(R20="IN-07",0,AG20))*AM20)*AS20)+AX20)*VLOOKUP("IN-34",'Assumptions &amp; Inputs'!$A$31:$F$69,4,FALSE),0),0)</f>
        <v>37227</v>
      </c>
      <c r="CL20" s="4">
        <f>IF(BT20=1,((AK20+(IF(R20="IN-07",0,AH20))*AN20)*AS20)+AY20+(((AK20+(IF(R20="IN-07",0,AH20))*AN20)*AS20)*AZ20)+IF(BD20="Yes",(((AK20+(IF(R20="IN-07",0,AH20))*AN20)*AS20)+AY20)*VLOOKUP("IN-34",'Assumptions &amp; Inputs'!$A$31:$F$69,5,FALSE),0),0)</f>
        <v>73056</v>
      </c>
    </row>
    <row r="21" spans="1:90" ht="43.5" x14ac:dyDescent="0.35">
      <c r="A21" s="50" t="s">
        <v>767</v>
      </c>
      <c r="B21" s="50" t="s">
        <v>768</v>
      </c>
      <c r="C21" s="50" t="s">
        <v>47</v>
      </c>
      <c r="D21" s="50" t="s">
        <v>58</v>
      </c>
      <c r="E21" s="50" t="s">
        <v>769</v>
      </c>
      <c r="F21" s="50" t="s">
        <v>770</v>
      </c>
      <c r="G21" s="50" t="s">
        <v>771</v>
      </c>
      <c r="H21" s="50" t="s">
        <v>772</v>
      </c>
      <c r="I21" s="50" t="s">
        <v>158</v>
      </c>
      <c r="J21" s="50" t="s">
        <v>773</v>
      </c>
      <c r="K21" s="50" t="s">
        <v>161</v>
      </c>
      <c r="L21" s="50" t="s">
        <v>158</v>
      </c>
      <c r="M21" s="50" t="s">
        <v>532</v>
      </c>
      <c r="N21" s="50" t="s">
        <v>156</v>
      </c>
      <c r="O21" s="50" t="s">
        <v>533</v>
      </c>
      <c r="P21" s="50" t="s">
        <v>556</v>
      </c>
      <c r="Q21" s="50" t="s">
        <v>774</v>
      </c>
      <c r="R21" s="50" t="s">
        <v>343</v>
      </c>
      <c r="S21" s="50" t="s">
        <v>568</v>
      </c>
      <c r="T21" s="50" t="s">
        <v>659</v>
      </c>
      <c r="U21" s="50" t="s">
        <v>775</v>
      </c>
      <c r="V21" s="50" t="s">
        <v>539</v>
      </c>
      <c r="W21" s="50" t="s">
        <v>540</v>
      </c>
      <c r="X21" s="50" t="s">
        <v>647</v>
      </c>
      <c r="Y21" s="50" t="s">
        <v>171</v>
      </c>
      <c r="Z21" s="50" t="s">
        <v>543</v>
      </c>
      <c r="AA21" s="50" t="s">
        <v>648</v>
      </c>
      <c r="AB21" s="50" t="s">
        <v>545</v>
      </c>
      <c r="AC21" s="50" t="s">
        <v>776</v>
      </c>
      <c r="AD21" s="50" t="s">
        <v>777</v>
      </c>
      <c r="AE21" s="16">
        <f>IF(ISNUMBER(SEARCH('Scenario Definitions'!$C$5,N21)),1,0)</f>
        <v>1</v>
      </c>
      <c r="AF21" s="16">
        <f>IFERROR(VLOOKUP(R21,'Assumptions &amp; Inputs'!$A$31:$F$69,3,FALSE),0)</f>
        <v>9</v>
      </c>
      <c r="AG21" s="16">
        <f>IFERROR(VLOOKUP(R21,'Assumptions &amp; Inputs'!$A$31:$F$69,4,FALSE),0)</f>
        <v>12</v>
      </c>
      <c r="AH21" s="17">
        <f>IFERROR(VLOOKUP(R21,'Assumptions &amp; Inputs'!$A$31:$F$69,5,FALSE),0)</f>
        <v>18</v>
      </c>
      <c r="AI21" s="11">
        <v>0</v>
      </c>
      <c r="AJ21" s="11">
        <v>0</v>
      </c>
      <c r="AK21" s="11">
        <v>0</v>
      </c>
      <c r="AL21" s="11">
        <v>6</v>
      </c>
      <c r="AM21" s="11">
        <v>8</v>
      </c>
      <c r="AN21" s="11">
        <v>12</v>
      </c>
      <c r="AO21" s="36">
        <f t="shared" si="0"/>
        <v>54</v>
      </c>
      <c r="AP21" s="16">
        <f t="shared" si="1"/>
        <v>96</v>
      </c>
      <c r="AQ21" s="17">
        <f t="shared" si="2"/>
        <v>216</v>
      </c>
      <c r="AR21" s="58" t="s">
        <v>406</v>
      </c>
      <c r="AS21" s="32">
        <f>IFERROR(VLOOKUP(AR21,'Assumptions &amp; Inputs'!$A$73:$I$100,9,FALSE),0)</f>
        <v>125</v>
      </c>
      <c r="AT21" s="24">
        <f t="shared" si="3"/>
        <v>6750</v>
      </c>
      <c r="AU21" s="24">
        <f t="shared" si="4"/>
        <v>12000</v>
      </c>
      <c r="AV21" s="25">
        <f t="shared" si="5"/>
        <v>27000</v>
      </c>
      <c r="AW21" s="57">
        <v>0</v>
      </c>
      <c r="AX21" s="57">
        <v>0</v>
      </c>
      <c r="AY21" s="57">
        <v>0</v>
      </c>
      <c r="AZ21" s="32">
        <f>IFERROR(VLOOKUP(C21,'Assumptions &amp; Inputs'!$A$104:$B$107,2,FALSE),0)</f>
        <v>0.25</v>
      </c>
      <c r="BA21" s="24">
        <f t="shared" si="6"/>
        <v>1687.5</v>
      </c>
      <c r="BB21" s="24">
        <f t="shared" si="7"/>
        <v>3000</v>
      </c>
      <c r="BC21" s="25">
        <f t="shared" si="8"/>
        <v>6750</v>
      </c>
      <c r="BD21" s="57" t="s">
        <v>209</v>
      </c>
      <c r="BE21" s="32">
        <f>IF(BD21="Yes",(AT21+AW21)*VLOOKUP("IN-34",'Assumptions &amp; Inputs'!$A$31:$F$69,3,FALSE),0)</f>
        <v>337.5</v>
      </c>
      <c r="BF21" s="24">
        <f>IF(BD21="Yes",(AU21+AX21)*VLOOKUP("IN-34",'Assumptions &amp; Inputs'!$A$31:$F$69,4,FALSE),0)</f>
        <v>900</v>
      </c>
      <c r="BG21" s="24">
        <f>IF(BD21="Yes",(AV21+AY21)*VLOOKUP("IN-34",'Assumptions &amp; Inputs'!$A$31:$F$69,5,FALSE),0)</f>
        <v>4050</v>
      </c>
      <c r="BH21" s="24">
        <f t="shared" si="9"/>
        <v>8775</v>
      </c>
      <c r="BI21" s="24">
        <f t="shared" si="10"/>
        <v>15900</v>
      </c>
      <c r="BJ21" s="25">
        <f t="shared" si="11"/>
        <v>37800</v>
      </c>
      <c r="BK21" s="58" t="s">
        <v>548</v>
      </c>
      <c r="BL21" s="58" t="s">
        <v>549</v>
      </c>
      <c r="BM21" s="58" t="s">
        <v>648</v>
      </c>
      <c r="BN21" s="58" t="s">
        <v>550</v>
      </c>
      <c r="BO21" s="5">
        <f t="shared" si="12"/>
        <v>1</v>
      </c>
      <c r="BP21" s="5">
        <f t="shared" si="13"/>
        <v>1</v>
      </c>
      <c r="BQ21" s="5">
        <f t="shared" si="14"/>
        <v>1</v>
      </c>
      <c r="BR21" s="5">
        <f t="shared" si="15"/>
        <v>1</v>
      </c>
      <c r="BS21" s="5">
        <f t="shared" si="16"/>
        <v>1</v>
      </c>
      <c r="BT21" s="5">
        <f t="shared" si="17"/>
        <v>1</v>
      </c>
      <c r="BU21" s="4">
        <f>IF(BO21=1,((AI21+(IF(R21="IN-07",'Assumptions &amp; Inputs'!$C$66,AF21))*AL21)*AS21)+AW21+(((AI21+(IF(R21="IN-07",'Assumptions &amp; Inputs'!$C$66,AF21))*AL21)*AS21)*AZ21)+IF(BD21="Yes",(((AI21+(IF(R21="IN-07",'Assumptions &amp; Inputs'!$C$66,AF21))*AL21)*AS21)+AW21)*VLOOKUP("IN-34",'Assumptions &amp; Inputs'!$A$31:$F$69,3,FALSE),0),0)</f>
        <v>8775</v>
      </c>
      <c r="BV21" s="4">
        <f>IF(BO21=1,((AJ21+(IF(R21="IN-07",'Assumptions &amp; Inputs'!$D$66,AG21))*AM21)*AS21)+AX21+(((AJ21+(IF(R21="IN-07",'Assumptions &amp; Inputs'!$D$66,AG21))*AM21)*AS21)*AZ21)+IF(BD21="Yes",(((AJ21+(IF(R21="IN-07",'Assumptions &amp; Inputs'!$D$66,AG21))*AM21)*AS21)+AX21)*VLOOKUP("IN-34",'Assumptions &amp; Inputs'!$A$31:$F$69,4,FALSE),0),0)</f>
        <v>15900</v>
      </c>
      <c r="BW21" s="4">
        <f>IF(BO21=1,((AK21+(IF(R21="IN-07",'Assumptions &amp; Inputs'!$E$66,AH21))*AN21)*AS21)+AY21+(((AK21+(IF(R21="IN-07",'Assumptions &amp; Inputs'!$E$66,AH21))*AN21)*AS21)*AZ21)+IF(BD21="Yes",(((AK21+(IF(R21="IN-07",'Assumptions &amp; Inputs'!$E$66,AH21))*AN21)*AS21)+AY21)*VLOOKUP("IN-34",'Assumptions &amp; Inputs'!$A$31:$F$69,5,FALSE),0),0)</f>
        <v>37800</v>
      </c>
      <c r="BX21" s="4">
        <f>IF(BP21=1,((AI21+(IF(R21="IN-07",'Assumptions &amp; Inputs'!$C$66,AF21))*AL21)*AS21)+AW21+(((AI21+(IF(R21="IN-07",'Assumptions &amp; Inputs'!$C$66,AF21))*AL21)*AS21)*AZ21)+IF(BD21="Yes",(((AI21+(IF(R21="IN-07",'Assumptions &amp; Inputs'!$C$66,AF21))*AL21)*AS21)+AW21)*VLOOKUP("IN-34",'Assumptions &amp; Inputs'!$A$31:$F$69,3,FALSE),0),0)</f>
        <v>8775</v>
      </c>
      <c r="BY21" s="4">
        <f>IF(BP21=1,((AJ21+(IF(R21="IN-07",'Assumptions &amp; Inputs'!$D$66,AG21))*AM21)*AS21)+AX21+(((AJ21+(IF(R21="IN-07",'Assumptions &amp; Inputs'!$D$66,AG21))*AM21)*AS21)*AZ21)+IF(BD21="Yes",(((AJ21+(IF(R21="IN-07",'Assumptions &amp; Inputs'!$D$66,AG21))*AM21)*AS21)+AX21)*VLOOKUP("IN-34",'Assumptions &amp; Inputs'!$A$31:$F$69,4,FALSE),0),0)</f>
        <v>15900</v>
      </c>
      <c r="BZ21" s="4">
        <f>IF(BP21=1,((AK21+(IF(R21="IN-07",'Assumptions &amp; Inputs'!$E$66,AH21))*AN21)*AS21)+AY21+(((AK21+(IF(R21="IN-07",'Assumptions &amp; Inputs'!$E$66,AH21))*AN21)*AS21)*AZ21)+IF(BD21="Yes",(((AK21+(IF(R21="IN-07",'Assumptions &amp; Inputs'!$E$66,AH21))*AN21)*AS21)+AY21)*VLOOKUP("IN-34",'Assumptions &amp; Inputs'!$A$31:$F$69,5,FALSE),0),0)</f>
        <v>37800</v>
      </c>
      <c r="CA21" s="4">
        <f>IF(BQ21=1,((AI21+(IF(R21="IN-07",'Assumptions &amp; Inputs'!$C$65,AF21))*AL21)*AS21)+AW21+(((AI21+(IF(R21="IN-07",'Assumptions &amp; Inputs'!$C$65,AF21))*AL21)*AS21)*AZ21)+IF(BD21="Yes",(((AI21+(IF(R21="IN-07",'Assumptions &amp; Inputs'!$C$65,AF21))*AL21)*AS21)+AW21)*VLOOKUP("IN-34",'Assumptions &amp; Inputs'!$A$31:$F$69,3,FALSE),0),0)</f>
        <v>8775</v>
      </c>
      <c r="CB21" s="4">
        <f>IF(BQ21=1,((AJ21+(IF(R21="IN-07",'Assumptions &amp; Inputs'!$D$65,AG21))*AM21)*AS21)+AX21+(((AJ21+(IF(R21="IN-07",'Assumptions &amp; Inputs'!$D$65,AG21))*AM21)*AS21)*AZ21)+IF(BD21="Yes",(((AJ21+(IF(R21="IN-07",'Assumptions &amp; Inputs'!$D$65,AG21))*AM21)*AS21)+AX21)*VLOOKUP("IN-34",'Assumptions &amp; Inputs'!$A$31:$F$69,4,FALSE),0),0)</f>
        <v>15900</v>
      </c>
      <c r="CC21" s="4">
        <f>IF(BQ21=1,((AK21+(IF(R21="IN-07",'Assumptions &amp; Inputs'!$E$65,AH21))*AN21)*AS21)+AY21+(((AK21+(IF(R21="IN-07",'Assumptions &amp; Inputs'!$E$65,AH21))*AN21)*AS21)*AZ21)+IF(BD21="Yes",(((AK21+(IF(R21="IN-07",'Assumptions &amp; Inputs'!$E$65,AH21))*AN21)*AS21)+AY21)*VLOOKUP("IN-34",'Assumptions &amp; Inputs'!$A$31:$F$69,5,FALSE),0),0)</f>
        <v>37800</v>
      </c>
      <c r="CD21" s="4">
        <f>IF(BR21=1,((AI21+(IF(R21="IN-07",'Assumptions &amp; Inputs'!$C$65,AF21))*AL21)*AS21)+AW21+(((AI21+(IF(R21="IN-07",'Assumptions &amp; Inputs'!$C$65,AF21))*AL21)*AS21)*AZ21)+IF(BD21="Yes",(((AI21+(IF(R21="IN-07",'Assumptions &amp; Inputs'!$C$65,AF21))*AL21)*AS21)+AW21)*VLOOKUP("IN-34",'Assumptions &amp; Inputs'!$A$31:$F$69,3,FALSE),0),0)</f>
        <v>8775</v>
      </c>
      <c r="CE21" s="4">
        <f>IF(BR21=1,((AJ21+(IF(R21="IN-07",'Assumptions &amp; Inputs'!$D$65,AG21))*AM21)*AS21)+AX21+(((AJ21+(IF(R21="IN-07",'Assumptions &amp; Inputs'!$D$65,AG21))*AM21)*AS21)*AZ21)+IF(BD21="Yes",(((AJ21+(IF(R21="IN-07",'Assumptions &amp; Inputs'!$D$65,AG21))*AM21)*AS21)+AX21)*VLOOKUP("IN-34",'Assumptions &amp; Inputs'!$A$31:$F$69,4,FALSE),0),0)</f>
        <v>15900</v>
      </c>
      <c r="CF21" s="4">
        <f>IF(BR21=1,((AK21+(IF(R21="IN-07",'Assumptions &amp; Inputs'!$E$65,AH21))*AN21)*AS21)+AY21+(((AK21+(IF(R21="IN-07",'Assumptions &amp; Inputs'!$E$65,AH21))*AN21)*AS21)*AZ21)+IF(BD21="Yes",(((AK21+(IF(R21="IN-07",'Assumptions &amp; Inputs'!$E$65,AH21))*AN21)*AS21)+AY21)*VLOOKUP("IN-34",'Assumptions &amp; Inputs'!$A$31:$F$69,5,FALSE),0),0)</f>
        <v>37800</v>
      </c>
      <c r="CG21" s="4">
        <f>IF(BS21=1,((AI21+(IF(R21="IN-07",0,AF21))*AL21)*AS21)+AW21+(((AI21+(IF(R21="IN-07",0,AF21))*AL21)*AS21)*AZ21)+IF(BD21="Yes",(((AI21+(IF(R21="IN-07",0,AF21))*AL21)*AS21)+AW21)*VLOOKUP("IN-34",'Assumptions &amp; Inputs'!$A$31:$F$69,3,FALSE),0),0)</f>
        <v>8775</v>
      </c>
      <c r="CH21" s="4">
        <f>IF(BS21=1,((AJ21+(IF(R21="IN-07",0,AG21))*AM21)*AS21)+AX21+(((AJ21+(IF(R21="IN-07",0,AG21))*AM21)*AS21)*AZ21)+IF(BD21="Yes",(((AJ21+(IF(R21="IN-07",0,AG21))*AM21)*AS21)+AX21)*VLOOKUP("IN-34",'Assumptions &amp; Inputs'!$A$31:$F$69,4,FALSE),0),0)</f>
        <v>15900</v>
      </c>
      <c r="CI21" s="4">
        <f>IF(BS21=1,((AK21+(IF(R21="IN-07",0,AH21))*AN21)*AS21)+AY21+(((AK21+(IF(R21="IN-07",0,AH21))*AN21)*AS21)*AZ21)+IF(BD21="Yes",(((AK21+(IF(R21="IN-07",0,AH21))*AN21)*AS21)+AY21)*VLOOKUP("IN-34",'Assumptions &amp; Inputs'!$A$31:$F$69,5,FALSE),0),0)</f>
        <v>37800</v>
      </c>
      <c r="CJ21" s="4">
        <f>IF(BT21=1,((AI21+(IF(R21="IN-07",0,AF21))*AL21)*AS21)+AW21+(((AI21+(IF(R21="IN-07",0,AF21))*AL21)*AS21)*AZ21)+IF(BD21="Yes",(((AI21+(IF(R21="IN-07",0,AF21))*AL21)*AS21)+AW21)*VLOOKUP("IN-34",'Assumptions &amp; Inputs'!$A$31:$F$69,3,FALSE),0),0)</f>
        <v>8775</v>
      </c>
      <c r="CK21" s="4">
        <f>IF(BT21=1,((AJ21+(IF(R21="IN-07",0,AG21))*AM21)*AS21)+AX21+(((AJ21+(IF(R21="IN-07",0,AG21))*AM21)*AS21)*AZ21)+IF(BD21="Yes",(((AJ21+(IF(R21="IN-07",0,AG21))*AM21)*AS21)+AX21)*VLOOKUP("IN-34",'Assumptions &amp; Inputs'!$A$31:$F$69,4,FALSE),0),0)</f>
        <v>15900</v>
      </c>
      <c r="CL21" s="4">
        <f>IF(BT21=1,((AK21+(IF(R21="IN-07",0,AH21))*AN21)*AS21)+AY21+(((AK21+(IF(R21="IN-07",0,AH21))*AN21)*AS21)*AZ21)+IF(BD21="Yes",(((AK21+(IF(R21="IN-07",0,AH21))*AN21)*AS21)+AY21)*VLOOKUP("IN-34",'Assumptions &amp; Inputs'!$A$31:$F$69,5,FALSE),0),0)</f>
        <v>37800</v>
      </c>
    </row>
    <row r="22" spans="1:90" ht="43.5" x14ac:dyDescent="0.35">
      <c r="A22" s="50" t="s">
        <v>778</v>
      </c>
      <c r="B22" s="50" t="s">
        <v>779</v>
      </c>
      <c r="C22" s="50" t="s">
        <v>47</v>
      </c>
      <c r="D22" s="50" t="s">
        <v>59</v>
      </c>
      <c r="E22" s="50" t="s">
        <v>780</v>
      </c>
      <c r="F22" s="50" t="s">
        <v>781</v>
      </c>
      <c r="G22" s="50" t="s">
        <v>782</v>
      </c>
      <c r="H22" s="50" t="s">
        <v>783</v>
      </c>
      <c r="I22" s="50" t="s">
        <v>158</v>
      </c>
      <c r="J22" s="50" t="s">
        <v>784</v>
      </c>
      <c r="K22" s="50" t="s">
        <v>157</v>
      </c>
      <c r="L22" s="50" t="s">
        <v>158</v>
      </c>
      <c r="M22" s="50" t="s">
        <v>532</v>
      </c>
      <c r="N22" s="50" t="s">
        <v>156</v>
      </c>
      <c r="O22" s="50" t="s">
        <v>533</v>
      </c>
      <c r="P22" s="50" t="s">
        <v>556</v>
      </c>
      <c r="Q22" s="50" t="s">
        <v>785</v>
      </c>
      <c r="R22" s="50" t="s">
        <v>348</v>
      </c>
      <c r="S22" s="50" t="s">
        <v>717</v>
      </c>
      <c r="T22" s="50" t="s">
        <v>786</v>
      </c>
      <c r="U22" s="50" t="s">
        <v>787</v>
      </c>
      <c r="V22" s="50" t="s">
        <v>570</v>
      </c>
      <c r="W22" s="50" t="s">
        <v>540</v>
      </c>
      <c r="X22" s="50" t="s">
        <v>647</v>
      </c>
      <c r="Y22" s="50" t="s">
        <v>788</v>
      </c>
      <c r="Z22" s="50" t="s">
        <v>543</v>
      </c>
      <c r="AA22" s="50" t="s">
        <v>789</v>
      </c>
      <c r="AB22" s="50" t="s">
        <v>36</v>
      </c>
      <c r="AC22" s="50" t="s">
        <v>790</v>
      </c>
      <c r="AD22" s="50" t="s">
        <v>791</v>
      </c>
      <c r="AE22" s="16">
        <f>IF(ISNUMBER(SEARCH('Scenario Definitions'!$C$5,N22)),1,0)</f>
        <v>1</v>
      </c>
      <c r="AF22" s="16">
        <f>IFERROR(VLOOKUP(R22,'Assumptions &amp; Inputs'!$A$31:$F$69,3,FALSE),0)</f>
        <v>3</v>
      </c>
      <c r="AG22" s="16">
        <f>IFERROR(VLOOKUP(R22,'Assumptions &amp; Inputs'!$A$31:$F$69,4,FALSE),0)</f>
        <v>4</v>
      </c>
      <c r="AH22" s="17">
        <f>IFERROR(VLOOKUP(R22,'Assumptions &amp; Inputs'!$A$31:$F$69,5,FALSE),0)</f>
        <v>6</v>
      </c>
      <c r="AI22" s="11">
        <v>0</v>
      </c>
      <c r="AJ22" s="11">
        <v>0</v>
      </c>
      <c r="AK22" s="11">
        <v>0</v>
      </c>
      <c r="AL22" s="11">
        <v>67.5</v>
      </c>
      <c r="AM22" s="11">
        <v>90</v>
      </c>
      <c r="AN22" s="11">
        <v>135</v>
      </c>
      <c r="AO22" s="36">
        <f t="shared" si="0"/>
        <v>202.5</v>
      </c>
      <c r="AP22" s="16">
        <f t="shared" si="1"/>
        <v>360</v>
      </c>
      <c r="AQ22" s="17">
        <f t="shared" si="2"/>
        <v>810</v>
      </c>
      <c r="AR22" s="58" t="s">
        <v>410</v>
      </c>
      <c r="AS22" s="32">
        <f>IFERROR(VLOOKUP(AR22,'Assumptions &amp; Inputs'!$A$73:$I$100,9,FALSE),0)</f>
        <v>95</v>
      </c>
      <c r="AT22" s="24">
        <f t="shared" si="3"/>
        <v>19237.5</v>
      </c>
      <c r="AU22" s="24">
        <f t="shared" si="4"/>
        <v>34200</v>
      </c>
      <c r="AV22" s="25">
        <f t="shared" si="5"/>
        <v>76950</v>
      </c>
      <c r="AW22" s="57">
        <v>3000</v>
      </c>
      <c r="AX22" s="57">
        <v>8000</v>
      </c>
      <c r="AY22" s="57">
        <v>20000</v>
      </c>
      <c r="AZ22" s="32">
        <f>IFERROR(VLOOKUP(C22,'Assumptions &amp; Inputs'!$A$104:$B$107,2,FALSE),0)</f>
        <v>0.25</v>
      </c>
      <c r="BA22" s="24">
        <f t="shared" si="6"/>
        <v>4809.375</v>
      </c>
      <c r="BB22" s="24">
        <f t="shared" si="7"/>
        <v>8550</v>
      </c>
      <c r="BC22" s="25">
        <f t="shared" si="8"/>
        <v>19237.5</v>
      </c>
      <c r="BD22" s="57" t="s">
        <v>209</v>
      </c>
      <c r="BE22" s="32">
        <f>IF(BD22="Yes",(AT22+AW22)*VLOOKUP("IN-34",'Assumptions &amp; Inputs'!$A$31:$F$69,3,FALSE),0)</f>
        <v>1111.875</v>
      </c>
      <c r="BF22" s="24">
        <f>IF(BD22="Yes",(AU22+AX22)*VLOOKUP("IN-34",'Assumptions &amp; Inputs'!$A$31:$F$69,4,FALSE),0)</f>
        <v>3165</v>
      </c>
      <c r="BG22" s="24">
        <f>IF(BD22="Yes",(AV22+AY22)*VLOOKUP("IN-34",'Assumptions &amp; Inputs'!$A$31:$F$69,5,FALSE),0)</f>
        <v>14542.5</v>
      </c>
      <c r="BH22" s="24">
        <f t="shared" si="9"/>
        <v>28158.75</v>
      </c>
      <c r="BI22" s="24">
        <f t="shared" si="10"/>
        <v>53915</v>
      </c>
      <c r="BJ22" s="25">
        <f t="shared" si="11"/>
        <v>130730</v>
      </c>
      <c r="BK22" s="58" t="s">
        <v>548</v>
      </c>
      <c r="BL22" s="58" t="s">
        <v>549</v>
      </c>
      <c r="BM22" s="58" t="s">
        <v>789</v>
      </c>
      <c r="BN22" s="58" t="s">
        <v>550</v>
      </c>
      <c r="BO22" s="5">
        <f t="shared" si="12"/>
        <v>1</v>
      </c>
      <c r="BP22" s="5">
        <f t="shared" si="13"/>
        <v>1</v>
      </c>
      <c r="BQ22" s="5">
        <f t="shared" si="14"/>
        <v>1</v>
      </c>
      <c r="BR22" s="5">
        <f t="shared" si="15"/>
        <v>1</v>
      </c>
      <c r="BS22" s="5">
        <f t="shared" si="16"/>
        <v>1</v>
      </c>
      <c r="BT22" s="5">
        <f t="shared" si="17"/>
        <v>1</v>
      </c>
      <c r="BU22" s="4">
        <f>IF(BO22=1,((AI22+(IF(R22="IN-07",'Assumptions &amp; Inputs'!$C$66,AF22))*AL22)*AS22)+AW22+(((AI22+(IF(R22="IN-07",'Assumptions &amp; Inputs'!$C$66,AF22))*AL22)*AS22)*AZ22)+IF(BD22="Yes",(((AI22+(IF(R22="IN-07",'Assumptions &amp; Inputs'!$C$66,AF22))*AL22)*AS22)+AW22)*VLOOKUP("IN-34",'Assumptions &amp; Inputs'!$A$31:$F$69,3,FALSE),0),0)</f>
        <v>28158.75</v>
      </c>
      <c r="BV22" s="4">
        <f>IF(BO22=1,((AJ22+(IF(R22="IN-07",'Assumptions &amp; Inputs'!$D$66,AG22))*AM22)*AS22)+AX22+(((AJ22+(IF(R22="IN-07",'Assumptions &amp; Inputs'!$D$66,AG22))*AM22)*AS22)*AZ22)+IF(BD22="Yes",(((AJ22+(IF(R22="IN-07",'Assumptions &amp; Inputs'!$D$66,AG22))*AM22)*AS22)+AX22)*VLOOKUP("IN-34",'Assumptions &amp; Inputs'!$A$31:$F$69,4,FALSE),0),0)</f>
        <v>53915</v>
      </c>
      <c r="BW22" s="4">
        <f>IF(BO22=1,((AK22+(IF(R22="IN-07",'Assumptions &amp; Inputs'!$E$66,AH22))*AN22)*AS22)+AY22+(((AK22+(IF(R22="IN-07",'Assumptions &amp; Inputs'!$E$66,AH22))*AN22)*AS22)*AZ22)+IF(BD22="Yes",(((AK22+(IF(R22="IN-07",'Assumptions &amp; Inputs'!$E$66,AH22))*AN22)*AS22)+AY22)*VLOOKUP("IN-34",'Assumptions &amp; Inputs'!$A$31:$F$69,5,FALSE),0),0)</f>
        <v>130730</v>
      </c>
      <c r="BX22" s="4">
        <f>IF(BP22=1,((AI22+(IF(R22="IN-07",'Assumptions &amp; Inputs'!$C$66,AF22))*AL22)*AS22)+AW22+(((AI22+(IF(R22="IN-07",'Assumptions &amp; Inputs'!$C$66,AF22))*AL22)*AS22)*AZ22)+IF(BD22="Yes",(((AI22+(IF(R22="IN-07",'Assumptions &amp; Inputs'!$C$66,AF22))*AL22)*AS22)+AW22)*VLOOKUP("IN-34",'Assumptions &amp; Inputs'!$A$31:$F$69,3,FALSE),0),0)</f>
        <v>28158.75</v>
      </c>
      <c r="BY22" s="4">
        <f>IF(BP22=1,((AJ22+(IF(R22="IN-07",'Assumptions &amp; Inputs'!$D$66,AG22))*AM22)*AS22)+AX22+(((AJ22+(IF(R22="IN-07",'Assumptions &amp; Inputs'!$D$66,AG22))*AM22)*AS22)*AZ22)+IF(BD22="Yes",(((AJ22+(IF(R22="IN-07",'Assumptions &amp; Inputs'!$D$66,AG22))*AM22)*AS22)+AX22)*VLOOKUP("IN-34",'Assumptions &amp; Inputs'!$A$31:$F$69,4,FALSE),0),0)</f>
        <v>53915</v>
      </c>
      <c r="BZ22" s="4">
        <f>IF(BP22=1,((AK22+(IF(R22="IN-07",'Assumptions &amp; Inputs'!$E$66,AH22))*AN22)*AS22)+AY22+(((AK22+(IF(R22="IN-07",'Assumptions &amp; Inputs'!$E$66,AH22))*AN22)*AS22)*AZ22)+IF(BD22="Yes",(((AK22+(IF(R22="IN-07",'Assumptions &amp; Inputs'!$E$66,AH22))*AN22)*AS22)+AY22)*VLOOKUP("IN-34",'Assumptions &amp; Inputs'!$A$31:$F$69,5,FALSE),0),0)</f>
        <v>130730</v>
      </c>
      <c r="CA22" s="4">
        <f>IF(BQ22=1,((AI22+(IF(R22="IN-07",'Assumptions &amp; Inputs'!$C$65,AF22))*AL22)*AS22)+AW22+(((AI22+(IF(R22="IN-07",'Assumptions &amp; Inputs'!$C$65,AF22))*AL22)*AS22)*AZ22)+IF(BD22="Yes",(((AI22+(IF(R22="IN-07",'Assumptions &amp; Inputs'!$C$65,AF22))*AL22)*AS22)+AW22)*VLOOKUP("IN-34",'Assumptions &amp; Inputs'!$A$31:$F$69,3,FALSE),0),0)</f>
        <v>28158.75</v>
      </c>
      <c r="CB22" s="4">
        <f>IF(BQ22=1,((AJ22+(IF(R22="IN-07",'Assumptions &amp; Inputs'!$D$65,AG22))*AM22)*AS22)+AX22+(((AJ22+(IF(R22="IN-07",'Assumptions &amp; Inputs'!$D$65,AG22))*AM22)*AS22)*AZ22)+IF(BD22="Yes",(((AJ22+(IF(R22="IN-07",'Assumptions &amp; Inputs'!$D$65,AG22))*AM22)*AS22)+AX22)*VLOOKUP("IN-34",'Assumptions &amp; Inputs'!$A$31:$F$69,4,FALSE),0),0)</f>
        <v>53915</v>
      </c>
      <c r="CC22" s="4">
        <f>IF(BQ22=1,((AK22+(IF(R22="IN-07",'Assumptions &amp; Inputs'!$E$65,AH22))*AN22)*AS22)+AY22+(((AK22+(IF(R22="IN-07",'Assumptions &amp; Inputs'!$E$65,AH22))*AN22)*AS22)*AZ22)+IF(BD22="Yes",(((AK22+(IF(R22="IN-07",'Assumptions &amp; Inputs'!$E$65,AH22))*AN22)*AS22)+AY22)*VLOOKUP("IN-34",'Assumptions &amp; Inputs'!$A$31:$F$69,5,FALSE),0),0)</f>
        <v>130730</v>
      </c>
      <c r="CD22" s="4">
        <f>IF(BR22=1,((AI22+(IF(R22="IN-07",'Assumptions &amp; Inputs'!$C$65,AF22))*AL22)*AS22)+AW22+(((AI22+(IF(R22="IN-07",'Assumptions &amp; Inputs'!$C$65,AF22))*AL22)*AS22)*AZ22)+IF(BD22="Yes",(((AI22+(IF(R22="IN-07",'Assumptions &amp; Inputs'!$C$65,AF22))*AL22)*AS22)+AW22)*VLOOKUP("IN-34",'Assumptions &amp; Inputs'!$A$31:$F$69,3,FALSE),0),0)</f>
        <v>28158.75</v>
      </c>
      <c r="CE22" s="4">
        <f>IF(BR22=1,((AJ22+(IF(R22="IN-07",'Assumptions &amp; Inputs'!$D$65,AG22))*AM22)*AS22)+AX22+(((AJ22+(IF(R22="IN-07",'Assumptions &amp; Inputs'!$D$65,AG22))*AM22)*AS22)*AZ22)+IF(BD22="Yes",(((AJ22+(IF(R22="IN-07",'Assumptions &amp; Inputs'!$D$65,AG22))*AM22)*AS22)+AX22)*VLOOKUP("IN-34",'Assumptions &amp; Inputs'!$A$31:$F$69,4,FALSE),0),0)</f>
        <v>53915</v>
      </c>
      <c r="CF22" s="4">
        <f>IF(BR22=1,((AK22+(IF(R22="IN-07",'Assumptions &amp; Inputs'!$E$65,AH22))*AN22)*AS22)+AY22+(((AK22+(IF(R22="IN-07",'Assumptions &amp; Inputs'!$E$65,AH22))*AN22)*AS22)*AZ22)+IF(BD22="Yes",(((AK22+(IF(R22="IN-07",'Assumptions &amp; Inputs'!$E$65,AH22))*AN22)*AS22)+AY22)*VLOOKUP("IN-34",'Assumptions &amp; Inputs'!$A$31:$F$69,5,FALSE),0),0)</f>
        <v>130730</v>
      </c>
      <c r="CG22" s="4">
        <f>IF(BS22=1,((AI22+(IF(R22="IN-07",0,AF22))*AL22)*AS22)+AW22+(((AI22+(IF(R22="IN-07",0,AF22))*AL22)*AS22)*AZ22)+IF(BD22="Yes",(((AI22+(IF(R22="IN-07",0,AF22))*AL22)*AS22)+AW22)*VLOOKUP("IN-34",'Assumptions &amp; Inputs'!$A$31:$F$69,3,FALSE),0),0)</f>
        <v>28158.75</v>
      </c>
      <c r="CH22" s="4">
        <f>IF(BS22=1,((AJ22+(IF(R22="IN-07",0,AG22))*AM22)*AS22)+AX22+(((AJ22+(IF(R22="IN-07",0,AG22))*AM22)*AS22)*AZ22)+IF(BD22="Yes",(((AJ22+(IF(R22="IN-07",0,AG22))*AM22)*AS22)+AX22)*VLOOKUP("IN-34",'Assumptions &amp; Inputs'!$A$31:$F$69,4,FALSE),0),0)</f>
        <v>53915</v>
      </c>
      <c r="CI22" s="4">
        <f>IF(BS22=1,((AK22+(IF(R22="IN-07",0,AH22))*AN22)*AS22)+AY22+(((AK22+(IF(R22="IN-07",0,AH22))*AN22)*AS22)*AZ22)+IF(BD22="Yes",(((AK22+(IF(R22="IN-07",0,AH22))*AN22)*AS22)+AY22)*VLOOKUP("IN-34",'Assumptions &amp; Inputs'!$A$31:$F$69,5,FALSE),0),0)</f>
        <v>130730</v>
      </c>
      <c r="CJ22" s="4">
        <f>IF(BT22=1,((AI22+(IF(R22="IN-07",0,AF22))*AL22)*AS22)+AW22+(((AI22+(IF(R22="IN-07",0,AF22))*AL22)*AS22)*AZ22)+IF(BD22="Yes",(((AI22+(IF(R22="IN-07",0,AF22))*AL22)*AS22)+AW22)*VLOOKUP("IN-34",'Assumptions &amp; Inputs'!$A$31:$F$69,3,FALSE),0),0)</f>
        <v>28158.75</v>
      </c>
      <c r="CK22" s="4">
        <f>IF(BT22=1,((AJ22+(IF(R22="IN-07",0,AG22))*AM22)*AS22)+AX22+(((AJ22+(IF(R22="IN-07",0,AG22))*AM22)*AS22)*AZ22)+IF(BD22="Yes",(((AJ22+(IF(R22="IN-07",0,AG22))*AM22)*AS22)+AX22)*VLOOKUP("IN-34",'Assumptions &amp; Inputs'!$A$31:$F$69,4,FALSE),0),0)</f>
        <v>53915</v>
      </c>
      <c r="CL22" s="4">
        <f>IF(BT22=1,((AK22+(IF(R22="IN-07",0,AH22))*AN22)*AS22)+AY22+(((AK22+(IF(R22="IN-07",0,AH22))*AN22)*AS22)*AZ22)+IF(BD22="Yes",(((AK22+(IF(R22="IN-07",0,AH22))*AN22)*AS22)+AY22)*VLOOKUP("IN-34",'Assumptions &amp; Inputs'!$A$31:$F$69,5,FALSE),0),0)</f>
        <v>130730</v>
      </c>
    </row>
    <row r="23" spans="1:90" ht="43.5" x14ac:dyDescent="0.35">
      <c r="A23" s="50" t="s">
        <v>792</v>
      </c>
      <c r="B23" s="50" t="s">
        <v>793</v>
      </c>
      <c r="C23" s="50" t="s">
        <v>47</v>
      </c>
      <c r="D23" s="50" t="s">
        <v>59</v>
      </c>
      <c r="E23" s="50" t="s">
        <v>794</v>
      </c>
      <c r="F23" s="50" t="s">
        <v>795</v>
      </c>
      <c r="G23" s="50" t="s">
        <v>796</v>
      </c>
      <c r="H23" s="50" t="s">
        <v>797</v>
      </c>
      <c r="I23" s="50" t="s">
        <v>158</v>
      </c>
      <c r="J23" s="50" t="s">
        <v>798</v>
      </c>
      <c r="K23" s="50" t="s">
        <v>531</v>
      </c>
      <c r="L23" s="50" t="s">
        <v>158</v>
      </c>
      <c r="M23" s="50" t="s">
        <v>532</v>
      </c>
      <c r="N23" s="50" t="s">
        <v>156</v>
      </c>
      <c r="O23" s="50" t="s">
        <v>533</v>
      </c>
      <c r="P23" s="50" t="s">
        <v>534</v>
      </c>
      <c r="Q23" s="50" t="s">
        <v>799</v>
      </c>
      <c r="R23" s="50" t="s">
        <v>299</v>
      </c>
      <c r="S23" s="50" t="s">
        <v>536</v>
      </c>
      <c r="T23" s="50" t="s">
        <v>800</v>
      </c>
      <c r="U23" s="50" t="s">
        <v>801</v>
      </c>
      <c r="V23" s="50" t="s">
        <v>539</v>
      </c>
      <c r="W23" s="50" t="s">
        <v>540</v>
      </c>
      <c r="X23" s="50" t="s">
        <v>541</v>
      </c>
      <c r="Y23" s="50" t="s">
        <v>802</v>
      </c>
      <c r="Z23" s="50" t="s">
        <v>543</v>
      </c>
      <c r="AA23" s="50" t="s">
        <v>789</v>
      </c>
      <c r="AB23" s="50" t="s">
        <v>545</v>
      </c>
      <c r="AC23" s="50" t="s">
        <v>803</v>
      </c>
      <c r="AD23" s="50" t="s">
        <v>804</v>
      </c>
      <c r="AE23" s="16">
        <f>IF(ISNUMBER(SEARCH('Scenario Definitions'!$C$5,N23)),1,0)</f>
        <v>1</v>
      </c>
      <c r="AF23" s="16">
        <f>IFERROR(VLOOKUP(R23,'Assumptions &amp; Inputs'!$A$31:$F$69,3,FALSE),0)</f>
        <v>1</v>
      </c>
      <c r="AG23" s="16">
        <f>IFERROR(VLOOKUP(R23,'Assumptions &amp; Inputs'!$A$31:$F$69,4,FALSE),0)</f>
        <v>1</v>
      </c>
      <c r="AH23" s="17">
        <f>IFERROR(VLOOKUP(R23,'Assumptions &amp; Inputs'!$A$31:$F$69,5,FALSE),0)</f>
        <v>1</v>
      </c>
      <c r="AI23" s="11">
        <v>90</v>
      </c>
      <c r="AJ23" s="11">
        <v>120</v>
      </c>
      <c r="AK23" s="11">
        <v>180</v>
      </c>
      <c r="AL23" s="11">
        <v>0</v>
      </c>
      <c r="AM23" s="11">
        <v>0</v>
      </c>
      <c r="AN23" s="11">
        <v>0</v>
      </c>
      <c r="AO23" s="36">
        <f t="shared" si="0"/>
        <v>90</v>
      </c>
      <c r="AP23" s="16">
        <f t="shared" si="1"/>
        <v>120</v>
      </c>
      <c r="AQ23" s="17">
        <f t="shared" si="2"/>
        <v>180</v>
      </c>
      <c r="AR23" s="58" t="s">
        <v>410</v>
      </c>
      <c r="AS23" s="32">
        <f>IFERROR(VLOOKUP(AR23,'Assumptions &amp; Inputs'!$A$73:$I$100,9,FALSE),0)</f>
        <v>95</v>
      </c>
      <c r="AT23" s="24">
        <f t="shared" si="3"/>
        <v>8550</v>
      </c>
      <c r="AU23" s="24">
        <f t="shared" si="4"/>
        <v>11400</v>
      </c>
      <c r="AV23" s="25">
        <f t="shared" si="5"/>
        <v>17100</v>
      </c>
      <c r="AW23" s="57">
        <v>2000</v>
      </c>
      <c r="AX23" s="57">
        <v>6000</v>
      </c>
      <c r="AY23" s="57">
        <v>15000</v>
      </c>
      <c r="AZ23" s="32">
        <f>IFERROR(VLOOKUP(C23,'Assumptions &amp; Inputs'!$A$104:$B$107,2,FALSE),0)</f>
        <v>0.25</v>
      </c>
      <c r="BA23" s="24">
        <f t="shared" si="6"/>
        <v>2137.5</v>
      </c>
      <c r="BB23" s="24">
        <f t="shared" si="7"/>
        <v>2850</v>
      </c>
      <c r="BC23" s="25">
        <f t="shared" si="8"/>
        <v>4275</v>
      </c>
      <c r="BD23" s="57" t="s">
        <v>209</v>
      </c>
      <c r="BE23" s="32">
        <f>IF(BD23="Yes",(AT23+AW23)*VLOOKUP("IN-34",'Assumptions &amp; Inputs'!$A$31:$F$69,3,FALSE),0)</f>
        <v>527.5</v>
      </c>
      <c r="BF23" s="24">
        <f>IF(BD23="Yes",(AU23+AX23)*VLOOKUP("IN-34",'Assumptions &amp; Inputs'!$A$31:$F$69,4,FALSE),0)</f>
        <v>1305</v>
      </c>
      <c r="BG23" s="24">
        <f>IF(BD23="Yes",(AV23+AY23)*VLOOKUP("IN-34",'Assumptions &amp; Inputs'!$A$31:$F$69,5,FALSE),0)</f>
        <v>4815</v>
      </c>
      <c r="BH23" s="24">
        <f t="shared" si="9"/>
        <v>13215</v>
      </c>
      <c r="BI23" s="24">
        <f t="shared" si="10"/>
        <v>21555</v>
      </c>
      <c r="BJ23" s="25">
        <f t="shared" si="11"/>
        <v>41190</v>
      </c>
      <c r="BK23" s="58" t="s">
        <v>548</v>
      </c>
      <c r="BL23" s="58" t="s">
        <v>549</v>
      </c>
      <c r="BM23" s="58" t="s">
        <v>789</v>
      </c>
      <c r="BN23" s="58" t="s">
        <v>550</v>
      </c>
      <c r="BO23" s="5">
        <f t="shared" si="12"/>
        <v>1</v>
      </c>
      <c r="BP23" s="5">
        <f t="shared" si="13"/>
        <v>1</v>
      </c>
      <c r="BQ23" s="5">
        <f t="shared" si="14"/>
        <v>1</v>
      </c>
      <c r="BR23" s="5">
        <f t="shared" si="15"/>
        <v>1</v>
      </c>
      <c r="BS23" s="5">
        <f t="shared" si="16"/>
        <v>1</v>
      </c>
      <c r="BT23" s="5">
        <f t="shared" si="17"/>
        <v>1</v>
      </c>
      <c r="BU23" s="4">
        <f>IF(BO23=1,((AI23+(IF(R23="IN-07",'Assumptions &amp; Inputs'!$C$66,AF23))*AL23)*AS23)+AW23+(((AI23+(IF(R23="IN-07",'Assumptions &amp; Inputs'!$C$66,AF23))*AL23)*AS23)*AZ23)+IF(BD23="Yes",(((AI23+(IF(R23="IN-07",'Assumptions &amp; Inputs'!$C$66,AF23))*AL23)*AS23)+AW23)*VLOOKUP("IN-34",'Assumptions &amp; Inputs'!$A$31:$F$69,3,FALSE),0),0)</f>
        <v>13215</v>
      </c>
      <c r="BV23" s="4">
        <f>IF(BO23=1,((AJ23+(IF(R23="IN-07",'Assumptions &amp; Inputs'!$D$66,AG23))*AM23)*AS23)+AX23+(((AJ23+(IF(R23="IN-07",'Assumptions &amp; Inputs'!$D$66,AG23))*AM23)*AS23)*AZ23)+IF(BD23="Yes",(((AJ23+(IF(R23="IN-07",'Assumptions &amp; Inputs'!$D$66,AG23))*AM23)*AS23)+AX23)*VLOOKUP("IN-34",'Assumptions &amp; Inputs'!$A$31:$F$69,4,FALSE),0),0)</f>
        <v>21555</v>
      </c>
      <c r="BW23" s="4">
        <f>IF(BO23=1,((AK23+(IF(R23="IN-07",'Assumptions &amp; Inputs'!$E$66,AH23))*AN23)*AS23)+AY23+(((AK23+(IF(R23="IN-07",'Assumptions &amp; Inputs'!$E$66,AH23))*AN23)*AS23)*AZ23)+IF(BD23="Yes",(((AK23+(IF(R23="IN-07",'Assumptions &amp; Inputs'!$E$66,AH23))*AN23)*AS23)+AY23)*VLOOKUP("IN-34",'Assumptions &amp; Inputs'!$A$31:$F$69,5,FALSE),0),0)</f>
        <v>41190</v>
      </c>
      <c r="BX23" s="4">
        <f>IF(BP23=1,((AI23+(IF(R23="IN-07",'Assumptions &amp; Inputs'!$C$66,AF23))*AL23)*AS23)+AW23+(((AI23+(IF(R23="IN-07",'Assumptions &amp; Inputs'!$C$66,AF23))*AL23)*AS23)*AZ23)+IF(BD23="Yes",(((AI23+(IF(R23="IN-07",'Assumptions &amp; Inputs'!$C$66,AF23))*AL23)*AS23)+AW23)*VLOOKUP("IN-34",'Assumptions &amp; Inputs'!$A$31:$F$69,3,FALSE),0),0)</f>
        <v>13215</v>
      </c>
      <c r="BY23" s="4">
        <f>IF(BP23=1,((AJ23+(IF(R23="IN-07",'Assumptions &amp; Inputs'!$D$66,AG23))*AM23)*AS23)+AX23+(((AJ23+(IF(R23="IN-07",'Assumptions &amp; Inputs'!$D$66,AG23))*AM23)*AS23)*AZ23)+IF(BD23="Yes",(((AJ23+(IF(R23="IN-07",'Assumptions &amp; Inputs'!$D$66,AG23))*AM23)*AS23)+AX23)*VLOOKUP("IN-34",'Assumptions &amp; Inputs'!$A$31:$F$69,4,FALSE),0),0)</f>
        <v>21555</v>
      </c>
      <c r="BZ23" s="4">
        <f>IF(BP23=1,((AK23+(IF(R23="IN-07",'Assumptions &amp; Inputs'!$E$66,AH23))*AN23)*AS23)+AY23+(((AK23+(IF(R23="IN-07",'Assumptions &amp; Inputs'!$E$66,AH23))*AN23)*AS23)*AZ23)+IF(BD23="Yes",(((AK23+(IF(R23="IN-07",'Assumptions &amp; Inputs'!$E$66,AH23))*AN23)*AS23)+AY23)*VLOOKUP("IN-34",'Assumptions &amp; Inputs'!$A$31:$F$69,5,FALSE),0),0)</f>
        <v>41190</v>
      </c>
      <c r="CA23" s="4">
        <f>IF(BQ23=1,((AI23+(IF(R23="IN-07",'Assumptions &amp; Inputs'!$C$65,AF23))*AL23)*AS23)+AW23+(((AI23+(IF(R23="IN-07",'Assumptions &amp; Inputs'!$C$65,AF23))*AL23)*AS23)*AZ23)+IF(BD23="Yes",(((AI23+(IF(R23="IN-07",'Assumptions &amp; Inputs'!$C$65,AF23))*AL23)*AS23)+AW23)*VLOOKUP("IN-34",'Assumptions &amp; Inputs'!$A$31:$F$69,3,FALSE),0),0)</f>
        <v>13215</v>
      </c>
      <c r="CB23" s="4">
        <f>IF(BQ23=1,((AJ23+(IF(R23="IN-07",'Assumptions &amp; Inputs'!$D$65,AG23))*AM23)*AS23)+AX23+(((AJ23+(IF(R23="IN-07",'Assumptions &amp; Inputs'!$D$65,AG23))*AM23)*AS23)*AZ23)+IF(BD23="Yes",(((AJ23+(IF(R23="IN-07",'Assumptions &amp; Inputs'!$D$65,AG23))*AM23)*AS23)+AX23)*VLOOKUP("IN-34",'Assumptions &amp; Inputs'!$A$31:$F$69,4,FALSE),0),0)</f>
        <v>21555</v>
      </c>
      <c r="CC23" s="4">
        <f>IF(BQ23=1,((AK23+(IF(R23="IN-07",'Assumptions &amp; Inputs'!$E$65,AH23))*AN23)*AS23)+AY23+(((AK23+(IF(R23="IN-07",'Assumptions &amp; Inputs'!$E$65,AH23))*AN23)*AS23)*AZ23)+IF(BD23="Yes",(((AK23+(IF(R23="IN-07",'Assumptions &amp; Inputs'!$E$65,AH23))*AN23)*AS23)+AY23)*VLOOKUP("IN-34",'Assumptions &amp; Inputs'!$A$31:$F$69,5,FALSE),0),0)</f>
        <v>41190</v>
      </c>
      <c r="CD23" s="4">
        <f>IF(BR23=1,((AI23+(IF(R23="IN-07",'Assumptions &amp; Inputs'!$C$65,AF23))*AL23)*AS23)+AW23+(((AI23+(IF(R23="IN-07",'Assumptions &amp; Inputs'!$C$65,AF23))*AL23)*AS23)*AZ23)+IF(BD23="Yes",(((AI23+(IF(R23="IN-07",'Assumptions &amp; Inputs'!$C$65,AF23))*AL23)*AS23)+AW23)*VLOOKUP("IN-34",'Assumptions &amp; Inputs'!$A$31:$F$69,3,FALSE),0),0)</f>
        <v>13215</v>
      </c>
      <c r="CE23" s="4">
        <f>IF(BR23=1,((AJ23+(IF(R23="IN-07",'Assumptions &amp; Inputs'!$D$65,AG23))*AM23)*AS23)+AX23+(((AJ23+(IF(R23="IN-07",'Assumptions &amp; Inputs'!$D$65,AG23))*AM23)*AS23)*AZ23)+IF(BD23="Yes",(((AJ23+(IF(R23="IN-07",'Assumptions &amp; Inputs'!$D$65,AG23))*AM23)*AS23)+AX23)*VLOOKUP("IN-34",'Assumptions &amp; Inputs'!$A$31:$F$69,4,FALSE),0),0)</f>
        <v>21555</v>
      </c>
      <c r="CF23" s="4">
        <f>IF(BR23=1,((AK23+(IF(R23="IN-07",'Assumptions &amp; Inputs'!$E$65,AH23))*AN23)*AS23)+AY23+(((AK23+(IF(R23="IN-07",'Assumptions &amp; Inputs'!$E$65,AH23))*AN23)*AS23)*AZ23)+IF(BD23="Yes",(((AK23+(IF(R23="IN-07",'Assumptions &amp; Inputs'!$E$65,AH23))*AN23)*AS23)+AY23)*VLOOKUP("IN-34",'Assumptions &amp; Inputs'!$A$31:$F$69,5,FALSE),0),0)</f>
        <v>41190</v>
      </c>
      <c r="CG23" s="4">
        <f>IF(BS23=1,((AI23+(IF(R23="IN-07",0,AF23))*AL23)*AS23)+AW23+(((AI23+(IF(R23="IN-07",0,AF23))*AL23)*AS23)*AZ23)+IF(BD23="Yes",(((AI23+(IF(R23="IN-07",0,AF23))*AL23)*AS23)+AW23)*VLOOKUP("IN-34",'Assumptions &amp; Inputs'!$A$31:$F$69,3,FALSE),0),0)</f>
        <v>13215</v>
      </c>
      <c r="CH23" s="4">
        <f>IF(BS23=1,((AJ23+(IF(R23="IN-07",0,AG23))*AM23)*AS23)+AX23+(((AJ23+(IF(R23="IN-07",0,AG23))*AM23)*AS23)*AZ23)+IF(BD23="Yes",(((AJ23+(IF(R23="IN-07",0,AG23))*AM23)*AS23)+AX23)*VLOOKUP("IN-34",'Assumptions &amp; Inputs'!$A$31:$F$69,4,FALSE),0),0)</f>
        <v>21555</v>
      </c>
      <c r="CI23" s="4">
        <f>IF(BS23=1,((AK23+(IF(R23="IN-07",0,AH23))*AN23)*AS23)+AY23+(((AK23+(IF(R23="IN-07",0,AH23))*AN23)*AS23)*AZ23)+IF(BD23="Yes",(((AK23+(IF(R23="IN-07",0,AH23))*AN23)*AS23)+AY23)*VLOOKUP("IN-34",'Assumptions &amp; Inputs'!$A$31:$F$69,5,FALSE),0),0)</f>
        <v>41190</v>
      </c>
      <c r="CJ23" s="4">
        <f>IF(BT23=1,((AI23+(IF(R23="IN-07",0,AF23))*AL23)*AS23)+AW23+(((AI23+(IF(R23="IN-07",0,AF23))*AL23)*AS23)*AZ23)+IF(BD23="Yes",(((AI23+(IF(R23="IN-07",0,AF23))*AL23)*AS23)+AW23)*VLOOKUP("IN-34",'Assumptions &amp; Inputs'!$A$31:$F$69,3,FALSE),0),0)</f>
        <v>13215</v>
      </c>
      <c r="CK23" s="4">
        <f>IF(BT23=1,((AJ23+(IF(R23="IN-07",0,AG23))*AM23)*AS23)+AX23+(((AJ23+(IF(R23="IN-07",0,AG23))*AM23)*AS23)*AZ23)+IF(BD23="Yes",(((AJ23+(IF(R23="IN-07",0,AG23))*AM23)*AS23)+AX23)*VLOOKUP("IN-34",'Assumptions &amp; Inputs'!$A$31:$F$69,4,FALSE),0),0)</f>
        <v>21555</v>
      </c>
      <c r="CL23" s="4">
        <f>IF(BT23=1,((AK23+(IF(R23="IN-07",0,AH23))*AN23)*AS23)+AY23+(((AK23+(IF(R23="IN-07",0,AH23))*AN23)*AS23)*AZ23)+IF(BD23="Yes",(((AK23+(IF(R23="IN-07",0,AH23))*AN23)*AS23)+AY23)*VLOOKUP("IN-34",'Assumptions &amp; Inputs'!$A$31:$F$69,5,FALSE),0),0)</f>
        <v>41190</v>
      </c>
    </row>
    <row r="24" spans="1:90" ht="43.5" x14ac:dyDescent="0.35">
      <c r="A24" s="2" t="s">
        <v>805</v>
      </c>
      <c r="B24" s="2" t="s">
        <v>179</v>
      </c>
      <c r="C24" s="2" t="s">
        <v>48</v>
      </c>
      <c r="D24" s="2" t="s">
        <v>52</v>
      </c>
      <c r="E24" s="2" t="s">
        <v>806</v>
      </c>
      <c r="F24" s="2" t="s">
        <v>807</v>
      </c>
      <c r="G24" s="2" t="s">
        <v>808</v>
      </c>
      <c r="H24" s="2" t="s">
        <v>809</v>
      </c>
      <c r="I24" s="2" t="s">
        <v>810</v>
      </c>
      <c r="J24" s="2" t="s">
        <v>811</v>
      </c>
      <c r="K24" s="2" t="s">
        <v>812</v>
      </c>
      <c r="L24" s="2" t="s">
        <v>810</v>
      </c>
      <c r="M24" s="2" t="s">
        <v>532</v>
      </c>
      <c r="N24" s="2" t="s">
        <v>180</v>
      </c>
      <c r="O24" s="2" t="s">
        <v>813</v>
      </c>
      <c r="P24" s="2" t="s">
        <v>556</v>
      </c>
      <c r="Q24" s="2" t="s">
        <v>557</v>
      </c>
      <c r="R24" s="2" t="s">
        <v>339</v>
      </c>
      <c r="S24" s="2" t="s">
        <v>558</v>
      </c>
      <c r="T24" s="2" t="s">
        <v>537</v>
      </c>
      <c r="U24" s="2" t="s">
        <v>814</v>
      </c>
      <c r="V24" s="2" t="s">
        <v>815</v>
      </c>
      <c r="W24" s="2" t="s">
        <v>816</v>
      </c>
      <c r="X24" s="2" t="s">
        <v>817</v>
      </c>
      <c r="Y24" s="2" t="s">
        <v>818</v>
      </c>
      <c r="Z24" s="2" t="s">
        <v>543</v>
      </c>
      <c r="AA24" s="2" t="s">
        <v>544</v>
      </c>
      <c r="AB24" s="2" t="s">
        <v>545</v>
      </c>
      <c r="AC24" s="2" t="s">
        <v>819</v>
      </c>
      <c r="AD24" s="2" t="s">
        <v>574</v>
      </c>
      <c r="AE24" s="18">
        <f>IF(ISNUMBER(SEARCH('Scenario Definitions'!$C$5,N24)),1,0)</f>
        <v>1</v>
      </c>
      <c r="AF24" s="18">
        <f>IFERROR(VLOOKUP(R24,'Assumptions &amp; Inputs'!$A$31:$F$69,3,FALSE),0)</f>
        <v>12</v>
      </c>
      <c r="AG24" s="18">
        <f>IFERROR(VLOOKUP(R24,'Assumptions &amp; Inputs'!$A$31:$F$69,4,FALSE),0)</f>
        <v>12</v>
      </c>
      <c r="AH24" s="19">
        <f>IFERROR(VLOOKUP(R24,'Assumptions &amp; Inputs'!$A$31:$F$69,5,FALSE),0)</f>
        <v>14</v>
      </c>
      <c r="AI24" s="11">
        <v>0</v>
      </c>
      <c r="AJ24" s="11">
        <v>0</v>
      </c>
      <c r="AK24" s="11">
        <v>0</v>
      </c>
      <c r="AL24" s="11">
        <v>27</v>
      </c>
      <c r="AM24" s="11">
        <v>36</v>
      </c>
      <c r="AN24" s="11">
        <v>54</v>
      </c>
      <c r="AO24" s="37">
        <f t="shared" si="0"/>
        <v>324</v>
      </c>
      <c r="AP24" s="18">
        <f t="shared" si="1"/>
        <v>432</v>
      </c>
      <c r="AQ24" s="19">
        <f t="shared" si="2"/>
        <v>756</v>
      </c>
      <c r="AR24" s="58" t="s">
        <v>416</v>
      </c>
      <c r="AS24" s="33">
        <f>IFERROR(VLOOKUP(AR24,'Assumptions &amp; Inputs'!$A$73:$I$100,9,FALSE),0)</f>
        <v>145</v>
      </c>
      <c r="AT24" s="26">
        <f t="shared" si="3"/>
        <v>46980</v>
      </c>
      <c r="AU24" s="26">
        <f t="shared" si="4"/>
        <v>62640</v>
      </c>
      <c r="AV24" s="27">
        <f t="shared" si="5"/>
        <v>109620</v>
      </c>
      <c r="AW24" s="57">
        <v>3000</v>
      </c>
      <c r="AX24" s="57">
        <v>8000</v>
      </c>
      <c r="AY24" s="57">
        <v>18000</v>
      </c>
      <c r="AZ24" s="33">
        <f>IFERROR(VLOOKUP(C24,'Assumptions &amp; Inputs'!$A$104:$B$107,2,FALSE),0)</f>
        <v>0.35</v>
      </c>
      <c r="BA24" s="26">
        <f t="shared" si="6"/>
        <v>16443</v>
      </c>
      <c r="BB24" s="26">
        <f t="shared" si="7"/>
        <v>21924</v>
      </c>
      <c r="BC24" s="27">
        <f t="shared" si="8"/>
        <v>38367</v>
      </c>
      <c r="BD24" s="57" t="s">
        <v>209</v>
      </c>
      <c r="BE24" s="33">
        <f>IF(BD24="Yes",(AT24+AW24)*VLOOKUP("IN-34",'Assumptions &amp; Inputs'!$A$31:$F$69,3,FALSE),0)</f>
        <v>2499</v>
      </c>
      <c r="BF24" s="26">
        <f>IF(BD24="Yes",(AU24+AX24)*VLOOKUP("IN-34",'Assumptions &amp; Inputs'!$A$31:$F$69,4,FALSE),0)</f>
        <v>5298</v>
      </c>
      <c r="BG24" s="26">
        <f>IF(BD24="Yes",(AV24+AY24)*VLOOKUP("IN-34",'Assumptions &amp; Inputs'!$A$31:$F$69,5,FALSE),0)</f>
        <v>19143</v>
      </c>
      <c r="BH24" s="26">
        <f t="shared" si="9"/>
        <v>68922</v>
      </c>
      <c r="BI24" s="26">
        <f t="shared" si="10"/>
        <v>97862</v>
      </c>
      <c r="BJ24" s="27">
        <f t="shared" si="11"/>
        <v>185130</v>
      </c>
      <c r="BK24" s="58" t="s">
        <v>548</v>
      </c>
      <c r="BL24" s="58" t="s">
        <v>549</v>
      </c>
      <c r="BM24" s="58" t="s">
        <v>544</v>
      </c>
      <c r="BN24" s="58" t="s">
        <v>550</v>
      </c>
      <c r="BO24" s="5">
        <f t="shared" si="12"/>
        <v>1</v>
      </c>
      <c r="BP24" s="5">
        <f t="shared" si="13"/>
        <v>1</v>
      </c>
      <c r="BQ24" s="5">
        <f t="shared" si="14"/>
        <v>1</v>
      </c>
      <c r="BR24" s="5">
        <f t="shared" si="15"/>
        <v>1</v>
      </c>
      <c r="BS24" s="5">
        <f t="shared" si="16"/>
        <v>0</v>
      </c>
      <c r="BT24" s="5">
        <f t="shared" si="17"/>
        <v>0</v>
      </c>
      <c r="BU24" s="4">
        <f>IF(BO24=1,((AI24+(IF(R24="IN-07",'Assumptions &amp; Inputs'!$C$66,AF24))*AL24)*AS24)+AW24+(((AI24+(IF(R24="IN-07",'Assumptions &amp; Inputs'!$C$66,AF24))*AL24)*AS24)*AZ24)+IF(BD24="Yes",(((AI24+(IF(R24="IN-07",'Assumptions &amp; Inputs'!$C$66,AF24))*AL24)*AS24)+AW24)*VLOOKUP("IN-34",'Assumptions &amp; Inputs'!$A$31:$F$69,3,FALSE),0),0)</f>
        <v>68922</v>
      </c>
      <c r="BV24" s="4">
        <f>IF(BO24=1,((AJ24+(IF(R24="IN-07",'Assumptions &amp; Inputs'!$D$66,AG24))*AM24)*AS24)+AX24+(((AJ24+(IF(R24="IN-07",'Assumptions &amp; Inputs'!$D$66,AG24))*AM24)*AS24)*AZ24)+IF(BD24="Yes",(((AJ24+(IF(R24="IN-07",'Assumptions &amp; Inputs'!$D$66,AG24))*AM24)*AS24)+AX24)*VLOOKUP("IN-34",'Assumptions &amp; Inputs'!$A$31:$F$69,4,FALSE),0),0)</f>
        <v>97862</v>
      </c>
      <c r="BW24" s="4">
        <f>IF(BO24=1,((AK24+(IF(R24="IN-07",'Assumptions &amp; Inputs'!$E$66,AH24))*AN24)*AS24)+AY24+(((AK24+(IF(R24="IN-07",'Assumptions &amp; Inputs'!$E$66,AH24))*AN24)*AS24)*AZ24)+IF(BD24="Yes",(((AK24+(IF(R24="IN-07",'Assumptions &amp; Inputs'!$E$66,AH24))*AN24)*AS24)+AY24)*VLOOKUP("IN-34",'Assumptions &amp; Inputs'!$A$31:$F$69,5,FALSE),0),0)</f>
        <v>185130</v>
      </c>
      <c r="BX24" s="4">
        <f>IF(BP24=1,((AI24+(IF(R24="IN-07",'Assumptions &amp; Inputs'!$C$66,AF24))*AL24)*AS24)+AW24+(((AI24+(IF(R24="IN-07",'Assumptions &amp; Inputs'!$C$66,AF24))*AL24)*AS24)*AZ24)+IF(BD24="Yes",(((AI24+(IF(R24="IN-07",'Assumptions &amp; Inputs'!$C$66,AF24))*AL24)*AS24)+AW24)*VLOOKUP("IN-34",'Assumptions &amp; Inputs'!$A$31:$F$69,3,FALSE),0),0)</f>
        <v>68922</v>
      </c>
      <c r="BY24" s="4">
        <f>IF(BP24=1,((AJ24+(IF(R24="IN-07",'Assumptions &amp; Inputs'!$D$66,AG24))*AM24)*AS24)+AX24+(((AJ24+(IF(R24="IN-07",'Assumptions &amp; Inputs'!$D$66,AG24))*AM24)*AS24)*AZ24)+IF(BD24="Yes",(((AJ24+(IF(R24="IN-07",'Assumptions &amp; Inputs'!$D$66,AG24))*AM24)*AS24)+AX24)*VLOOKUP("IN-34",'Assumptions &amp; Inputs'!$A$31:$F$69,4,FALSE),0),0)</f>
        <v>97862</v>
      </c>
      <c r="BZ24" s="4">
        <f>IF(BP24=1,((AK24+(IF(R24="IN-07",'Assumptions &amp; Inputs'!$E$66,AH24))*AN24)*AS24)+AY24+(((AK24+(IF(R24="IN-07",'Assumptions &amp; Inputs'!$E$66,AH24))*AN24)*AS24)*AZ24)+IF(BD24="Yes",(((AK24+(IF(R24="IN-07",'Assumptions &amp; Inputs'!$E$66,AH24))*AN24)*AS24)+AY24)*VLOOKUP("IN-34",'Assumptions &amp; Inputs'!$A$31:$F$69,5,FALSE),0),0)</f>
        <v>185130</v>
      </c>
      <c r="CA24" s="4">
        <f>IF(BQ24=1,((AI24+(IF(R24="IN-07",'Assumptions &amp; Inputs'!$C$65,AF24))*AL24)*AS24)+AW24+(((AI24+(IF(R24="IN-07",'Assumptions &amp; Inputs'!$C$65,AF24))*AL24)*AS24)*AZ24)+IF(BD24="Yes",(((AI24+(IF(R24="IN-07",'Assumptions &amp; Inputs'!$C$65,AF24))*AL24)*AS24)+AW24)*VLOOKUP("IN-34",'Assumptions &amp; Inputs'!$A$31:$F$69,3,FALSE),0),0)</f>
        <v>68922</v>
      </c>
      <c r="CB24" s="4">
        <f>IF(BQ24=1,((AJ24+(IF(R24="IN-07",'Assumptions &amp; Inputs'!$D$65,AG24))*AM24)*AS24)+AX24+(((AJ24+(IF(R24="IN-07",'Assumptions &amp; Inputs'!$D$65,AG24))*AM24)*AS24)*AZ24)+IF(BD24="Yes",(((AJ24+(IF(R24="IN-07",'Assumptions &amp; Inputs'!$D$65,AG24))*AM24)*AS24)+AX24)*VLOOKUP("IN-34",'Assumptions &amp; Inputs'!$A$31:$F$69,4,FALSE),0),0)</f>
        <v>97862</v>
      </c>
      <c r="CC24" s="4">
        <f>IF(BQ24=1,((AK24+(IF(R24="IN-07",'Assumptions &amp; Inputs'!$E$65,AH24))*AN24)*AS24)+AY24+(((AK24+(IF(R24="IN-07",'Assumptions &amp; Inputs'!$E$65,AH24))*AN24)*AS24)*AZ24)+IF(BD24="Yes",(((AK24+(IF(R24="IN-07",'Assumptions &amp; Inputs'!$E$65,AH24))*AN24)*AS24)+AY24)*VLOOKUP("IN-34",'Assumptions &amp; Inputs'!$A$31:$F$69,5,FALSE),0),0)</f>
        <v>185130</v>
      </c>
      <c r="CD24" s="4">
        <f>IF(BR24=1,((AI24+(IF(R24="IN-07",'Assumptions &amp; Inputs'!$C$65,AF24))*AL24)*AS24)+AW24+(((AI24+(IF(R24="IN-07",'Assumptions &amp; Inputs'!$C$65,AF24))*AL24)*AS24)*AZ24)+IF(BD24="Yes",(((AI24+(IF(R24="IN-07",'Assumptions &amp; Inputs'!$C$65,AF24))*AL24)*AS24)+AW24)*VLOOKUP("IN-34",'Assumptions &amp; Inputs'!$A$31:$F$69,3,FALSE),0),0)</f>
        <v>68922</v>
      </c>
      <c r="CE24" s="4">
        <f>IF(BR24=1,((AJ24+(IF(R24="IN-07",'Assumptions &amp; Inputs'!$D$65,AG24))*AM24)*AS24)+AX24+(((AJ24+(IF(R24="IN-07",'Assumptions &amp; Inputs'!$D$65,AG24))*AM24)*AS24)*AZ24)+IF(BD24="Yes",(((AJ24+(IF(R24="IN-07",'Assumptions &amp; Inputs'!$D$65,AG24))*AM24)*AS24)+AX24)*VLOOKUP("IN-34",'Assumptions &amp; Inputs'!$A$31:$F$69,4,FALSE),0),0)</f>
        <v>97862</v>
      </c>
      <c r="CF24" s="4">
        <f>IF(BR24=1,((AK24+(IF(R24="IN-07",'Assumptions &amp; Inputs'!$E$65,AH24))*AN24)*AS24)+AY24+(((AK24+(IF(R24="IN-07",'Assumptions &amp; Inputs'!$E$65,AH24))*AN24)*AS24)*AZ24)+IF(BD24="Yes",(((AK24+(IF(R24="IN-07",'Assumptions &amp; Inputs'!$E$65,AH24))*AN24)*AS24)+AY24)*VLOOKUP("IN-34",'Assumptions &amp; Inputs'!$A$31:$F$69,5,FALSE),0),0)</f>
        <v>185130</v>
      </c>
      <c r="CG24" s="4">
        <f>IF(BS24=1,((AI24+(IF(R24="IN-07",0,AF24))*AL24)*AS24)+AW24+(((AI24+(IF(R24="IN-07",0,AF24))*AL24)*AS24)*AZ24)+IF(BD24="Yes",(((AI24+(IF(R24="IN-07",0,AF24))*AL24)*AS24)+AW24)*VLOOKUP("IN-34",'Assumptions &amp; Inputs'!$A$31:$F$69,3,FALSE),0),0)</f>
        <v>0</v>
      </c>
      <c r="CH24" s="4">
        <f>IF(BS24=1,((AJ24+(IF(R24="IN-07",0,AG24))*AM24)*AS24)+AX24+(((AJ24+(IF(R24="IN-07",0,AG24))*AM24)*AS24)*AZ24)+IF(BD24="Yes",(((AJ24+(IF(R24="IN-07",0,AG24))*AM24)*AS24)+AX24)*VLOOKUP("IN-34",'Assumptions &amp; Inputs'!$A$31:$F$69,4,FALSE),0),0)</f>
        <v>0</v>
      </c>
      <c r="CI24" s="4">
        <f>IF(BS24=1,((AK24+(IF(R24="IN-07",0,AH24))*AN24)*AS24)+AY24+(((AK24+(IF(R24="IN-07",0,AH24))*AN24)*AS24)*AZ24)+IF(BD24="Yes",(((AK24+(IF(R24="IN-07",0,AH24))*AN24)*AS24)+AY24)*VLOOKUP("IN-34",'Assumptions &amp; Inputs'!$A$31:$F$69,5,FALSE),0),0)</f>
        <v>0</v>
      </c>
      <c r="CJ24" s="4">
        <f>IF(BT24=1,((AI24+(IF(R24="IN-07",0,AF24))*AL24)*AS24)+AW24+(((AI24+(IF(R24="IN-07",0,AF24))*AL24)*AS24)*AZ24)+IF(BD24="Yes",(((AI24+(IF(R24="IN-07",0,AF24))*AL24)*AS24)+AW24)*VLOOKUP("IN-34",'Assumptions &amp; Inputs'!$A$31:$F$69,3,FALSE),0),0)</f>
        <v>0</v>
      </c>
      <c r="CK24" s="4">
        <f>IF(BT24=1,((AJ24+(IF(R24="IN-07",0,AG24))*AM24)*AS24)+AX24+(((AJ24+(IF(R24="IN-07",0,AG24))*AM24)*AS24)*AZ24)+IF(BD24="Yes",(((AJ24+(IF(R24="IN-07",0,AG24))*AM24)*AS24)+AX24)*VLOOKUP("IN-34",'Assumptions &amp; Inputs'!$A$31:$F$69,4,FALSE),0),0)</f>
        <v>0</v>
      </c>
      <c r="CL24" s="4">
        <f>IF(BT24=1,((AK24+(IF(R24="IN-07",0,AH24))*AN24)*AS24)+AY24+(((AK24+(IF(R24="IN-07",0,AH24))*AN24)*AS24)*AZ24)+IF(BD24="Yes",(((AK24+(IF(R24="IN-07",0,AH24))*AN24)*AS24)+AY24)*VLOOKUP("IN-34",'Assumptions &amp; Inputs'!$A$31:$F$69,5,FALSE),0),0)</f>
        <v>0</v>
      </c>
    </row>
    <row r="25" spans="1:90" ht="43.5" x14ac:dyDescent="0.35">
      <c r="A25" s="2" t="s">
        <v>820</v>
      </c>
      <c r="B25" s="2" t="s">
        <v>181</v>
      </c>
      <c r="C25" s="2" t="s">
        <v>48</v>
      </c>
      <c r="D25" s="2" t="s">
        <v>53</v>
      </c>
      <c r="E25" s="2" t="s">
        <v>821</v>
      </c>
      <c r="F25" s="2" t="s">
        <v>822</v>
      </c>
      <c r="G25" s="2" t="s">
        <v>823</v>
      </c>
      <c r="H25" s="2" t="s">
        <v>824</v>
      </c>
      <c r="I25" s="2" t="s">
        <v>158</v>
      </c>
      <c r="J25" s="2" t="s">
        <v>825</v>
      </c>
      <c r="K25" s="2" t="s">
        <v>826</v>
      </c>
      <c r="L25" s="2" t="s">
        <v>810</v>
      </c>
      <c r="M25" s="2" t="s">
        <v>532</v>
      </c>
      <c r="N25" s="2" t="s">
        <v>180</v>
      </c>
      <c r="O25" s="2" t="s">
        <v>813</v>
      </c>
      <c r="P25" s="2" t="s">
        <v>593</v>
      </c>
      <c r="Q25" s="2" t="s">
        <v>594</v>
      </c>
      <c r="R25" s="2" t="s">
        <v>318</v>
      </c>
      <c r="S25" s="2" t="s">
        <v>595</v>
      </c>
      <c r="T25" s="2" t="s">
        <v>596</v>
      </c>
      <c r="U25" s="2" t="s">
        <v>827</v>
      </c>
      <c r="V25" s="2" t="s">
        <v>815</v>
      </c>
      <c r="W25" s="2" t="s">
        <v>598</v>
      </c>
      <c r="X25" s="2" t="s">
        <v>591</v>
      </c>
      <c r="Y25" s="2" t="s">
        <v>600</v>
      </c>
      <c r="Z25" s="2" t="s">
        <v>543</v>
      </c>
      <c r="AA25" s="2" t="s">
        <v>602</v>
      </c>
      <c r="AB25" s="2" t="s">
        <v>36</v>
      </c>
      <c r="AC25" s="2" t="s">
        <v>603</v>
      </c>
      <c r="AD25" s="2" t="s">
        <v>604</v>
      </c>
      <c r="AE25" s="18">
        <f>IF(ISNUMBER(SEARCH('Scenario Definitions'!$C$5,N25)),1,0)</f>
        <v>1</v>
      </c>
      <c r="AF25" s="18">
        <f>IFERROR(VLOOKUP(R25,'Assumptions &amp; Inputs'!$A$31:$F$69,3,FALSE),0)</f>
        <v>3</v>
      </c>
      <c r="AG25" s="18">
        <f>IFERROR(VLOOKUP(R25,'Assumptions &amp; Inputs'!$A$31:$F$69,4,FALSE),0)</f>
        <v>3</v>
      </c>
      <c r="AH25" s="19">
        <f>IFERROR(VLOOKUP(R25,'Assumptions &amp; Inputs'!$A$31:$F$69,5,FALSE),0)</f>
        <v>5</v>
      </c>
      <c r="AI25" s="11">
        <v>0</v>
      </c>
      <c r="AJ25" s="11">
        <v>0</v>
      </c>
      <c r="AK25" s="11">
        <v>0</v>
      </c>
      <c r="AL25" s="11">
        <v>20.2</v>
      </c>
      <c r="AM25" s="11">
        <v>27</v>
      </c>
      <c r="AN25" s="11">
        <v>40.5</v>
      </c>
      <c r="AO25" s="37">
        <f t="shared" si="0"/>
        <v>60.599999999999994</v>
      </c>
      <c r="AP25" s="18">
        <f t="shared" si="1"/>
        <v>81</v>
      </c>
      <c r="AQ25" s="19">
        <f t="shared" si="2"/>
        <v>202.5</v>
      </c>
      <c r="AR25" s="58" t="s">
        <v>420</v>
      </c>
      <c r="AS25" s="33">
        <f>IFERROR(VLOOKUP(AR25,'Assumptions &amp; Inputs'!$A$73:$I$100,9,FALSE),0)</f>
        <v>210</v>
      </c>
      <c r="AT25" s="26">
        <f t="shared" si="3"/>
        <v>12725.999999999998</v>
      </c>
      <c r="AU25" s="26">
        <f t="shared" si="4"/>
        <v>17010</v>
      </c>
      <c r="AV25" s="27">
        <f t="shared" si="5"/>
        <v>42525</v>
      </c>
      <c r="AW25" s="57">
        <v>0</v>
      </c>
      <c r="AX25" s="57">
        <v>0</v>
      </c>
      <c r="AY25" s="57">
        <v>30000</v>
      </c>
      <c r="AZ25" s="33">
        <f>IFERROR(VLOOKUP(C25,'Assumptions &amp; Inputs'!$A$104:$B$107,2,FALSE),0)</f>
        <v>0.35</v>
      </c>
      <c r="BA25" s="26">
        <f t="shared" si="6"/>
        <v>4454.0999999999995</v>
      </c>
      <c r="BB25" s="26">
        <f t="shared" si="7"/>
        <v>5953.5</v>
      </c>
      <c r="BC25" s="27">
        <f t="shared" si="8"/>
        <v>14883.749999999998</v>
      </c>
      <c r="BD25" s="57" t="s">
        <v>209</v>
      </c>
      <c r="BE25" s="33">
        <f>IF(BD25="Yes",(AT25+AW25)*VLOOKUP("IN-34",'Assumptions &amp; Inputs'!$A$31:$F$69,3,FALSE),0)</f>
        <v>636.29999999999995</v>
      </c>
      <c r="BF25" s="26">
        <f>IF(BD25="Yes",(AU25+AX25)*VLOOKUP("IN-34",'Assumptions &amp; Inputs'!$A$31:$F$69,4,FALSE),0)</f>
        <v>1275.75</v>
      </c>
      <c r="BG25" s="26">
        <f>IF(BD25="Yes",(AV25+AY25)*VLOOKUP("IN-34",'Assumptions &amp; Inputs'!$A$31:$F$69,5,FALSE),0)</f>
        <v>10878.75</v>
      </c>
      <c r="BH25" s="26">
        <f t="shared" si="9"/>
        <v>17816.399999999998</v>
      </c>
      <c r="BI25" s="26">
        <f t="shared" si="10"/>
        <v>24239.25</v>
      </c>
      <c r="BJ25" s="27">
        <f t="shared" si="11"/>
        <v>98287.5</v>
      </c>
      <c r="BK25" s="58" t="s">
        <v>548</v>
      </c>
      <c r="BL25" s="58" t="s">
        <v>549</v>
      </c>
      <c r="BM25" s="58" t="s">
        <v>602</v>
      </c>
      <c r="BN25" s="58" t="s">
        <v>550</v>
      </c>
      <c r="BO25" s="5">
        <f t="shared" si="12"/>
        <v>1</v>
      </c>
      <c r="BP25" s="5">
        <f t="shared" si="13"/>
        <v>1</v>
      </c>
      <c r="BQ25" s="5">
        <f t="shared" si="14"/>
        <v>1</v>
      </c>
      <c r="BR25" s="5">
        <f t="shared" si="15"/>
        <v>1</v>
      </c>
      <c r="BS25" s="5">
        <f t="shared" si="16"/>
        <v>0</v>
      </c>
      <c r="BT25" s="5">
        <f t="shared" si="17"/>
        <v>0</v>
      </c>
      <c r="BU25" s="4">
        <f>IF(BO25=1,((AI25+(IF(R25="IN-07",'Assumptions &amp; Inputs'!$C$66,AF25))*AL25)*AS25)+AW25+(((AI25+(IF(R25="IN-07",'Assumptions &amp; Inputs'!$C$66,AF25))*AL25)*AS25)*AZ25)+IF(BD25="Yes",(((AI25+(IF(R25="IN-07",'Assumptions &amp; Inputs'!$C$66,AF25))*AL25)*AS25)+AW25)*VLOOKUP("IN-34",'Assumptions &amp; Inputs'!$A$31:$F$69,3,FALSE),0),0)</f>
        <v>17816.399999999998</v>
      </c>
      <c r="BV25" s="4">
        <f>IF(BO25=1,((AJ25+(IF(R25="IN-07",'Assumptions &amp; Inputs'!$D$66,AG25))*AM25)*AS25)+AX25+(((AJ25+(IF(R25="IN-07",'Assumptions &amp; Inputs'!$D$66,AG25))*AM25)*AS25)*AZ25)+IF(BD25="Yes",(((AJ25+(IF(R25="IN-07",'Assumptions &amp; Inputs'!$D$66,AG25))*AM25)*AS25)+AX25)*VLOOKUP("IN-34",'Assumptions &amp; Inputs'!$A$31:$F$69,4,FALSE),0),0)</f>
        <v>24239.25</v>
      </c>
      <c r="BW25" s="4">
        <f>IF(BO25=1,((AK25+(IF(R25="IN-07",'Assumptions &amp; Inputs'!$E$66,AH25))*AN25)*AS25)+AY25+(((AK25+(IF(R25="IN-07",'Assumptions &amp; Inputs'!$E$66,AH25))*AN25)*AS25)*AZ25)+IF(BD25="Yes",(((AK25+(IF(R25="IN-07",'Assumptions &amp; Inputs'!$E$66,AH25))*AN25)*AS25)+AY25)*VLOOKUP("IN-34",'Assumptions &amp; Inputs'!$A$31:$F$69,5,FALSE),0),0)</f>
        <v>98287.5</v>
      </c>
      <c r="BX25" s="4">
        <f>IF(BP25=1,((AI25+(IF(R25="IN-07",'Assumptions &amp; Inputs'!$C$66,AF25))*AL25)*AS25)+AW25+(((AI25+(IF(R25="IN-07",'Assumptions &amp; Inputs'!$C$66,AF25))*AL25)*AS25)*AZ25)+IF(BD25="Yes",(((AI25+(IF(R25="IN-07",'Assumptions &amp; Inputs'!$C$66,AF25))*AL25)*AS25)+AW25)*VLOOKUP("IN-34",'Assumptions &amp; Inputs'!$A$31:$F$69,3,FALSE),0),0)</f>
        <v>17816.399999999998</v>
      </c>
      <c r="BY25" s="4">
        <f>IF(BP25=1,((AJ25+(IF(R25="IN-07",'Assumptions &amp; Inputs'!$D$66,AG25))*AM25)*AS25)+AX25+(((AJ25+(IF(R25="IN-07",'Assumptions &amp; Inputs'!$D$66,AG25))*AM25)*AS25)*AZ25)+IF(BD25="Yes",(((AJ25+(IF(R25="IN-07",'Assumptions &amp; Inputs'!$D$66,AG25))*AM25)*AS25)+AX25)*VLOOKUP("IN-34",'Assumptions &amp; Inputs'!$A$31:$F$69,4,FALSE),0),0)</f>
        <v>24239.25</v>
      </c>
      <c r="BZ25" s="4">
        <f>IF(BP25=1,((AK25+(IF(R25="IN-07",'Assumptions &amp; Inputs'!$E$66,AH25))*AN25)*AS25)+AY25+(((AK25+(IF(R25="IN-07",'Assumptions &amp; Inputs'!$E$66,AH25))*AN25)*AS25)*AZ25)+IF(BD25="Yes",(((AK25+(IF(R25="IN-07",'Assumptions &amp; Inputs'!$E$66,AH25))*AN25)*AS25)+AY25)*VLOOKUP("IN-34",'Assumptions &amp; Inputs'!$A$31:$F$69,5,FALSE),0),0)</f>
        <v>98287.5</v>
      </c>
      <c r="CA25" s="4">
        <f>IF(BQ25=1,((AI25+(IF(R25="IN-07",'Assumptions &amp; Inputs'!$C$65,AF25))*AL25)*AS25)+AW25+(((AI25+(IF(R25="IN-07",'Assumptions &amp; Inputs'!$C$65,AF25))*AL25)*AS25)*AZ25)+IF(BD25="Yes",(((AI25+(IF(R25="IN-07",'Assumptions &amp; Inputs'!$C$65,AF25))*AL25)*AS25)+AW25)*VLOOKUP("IN-34",'Assumptions &amp; Inputs'!$A$31:$F$69,3,FALSE),0),0)</f>
        <v>17816.399999999998</v>
      </c>
      <c r="CB25" s="4">
        <f>IF(BQ25=1,((AJ25+(IF(R25="IN-07",'Assumptions &amp; Inputs'!$D$65,AG25))*AM25)*AS25)+AX25+(((AJ25+(IF(R25="IN-07",'Assumptions &amp; Inputs'!$D$65,AG25))*AM25)*AS25)*AZ25)+IF(BD25="Yes",(((AJ25+(IF(R25="IN-07",'Assumptions &amp; Inputs'!$D$65,AG25))*AM25)*AS25)+AX25)*VLOOKUP("IN-34",'Assumptions &amp; Inputs'!$A$31:$F$69,4,FALSE),0),0)</f>
        <v>24239.25</v>
      </c>
      <c r="CC25" s="4">
        <f>IF(BQ25=1,((AK25+(IF(R25="IN-07",'Assumptions &amp; Inputs'!$E$65,AH25))*AN25)*AS25)+AY25+(((AK25+(IF(R25="IN-07",'Assumptions &amp; Inputs'!$E$65,AH25))*AN25)*AS25)*AZ25)+IF(BD25="Yes",(((AK25+(IF(R25="IN-07",'Assumptions &amp; Inputs'!$E$65,AH25))*AN25)*AS25)+AY25)*VLOOKUP("IN-34",'Assumptions &amp; Inputs'!$A$31:$F$69,5,FALSE),0),0)</f>
        <v>98287.5</v>
      </c>
      <c r="CD25" s="4">
        <f>IF(BR25=1,((AI25+(IF(R25="IN-07",'Assumptions &amp; Inputs'!$C$65,AF25))*AL25)*AS25)+AW25+(((AI25+(IF(R25="IN-07",'Assumptions &amp; Inputs'!$C$65,AF25))*AL25)*AS25)*AZ25)+IF(BD25="Yes",(((AI25+(IF(R25="IN-07",'Assumptions &amp; Inputs'!$C$65,AF25))*AL25)*AS25)+AW25)*VLOOKUP("IN-34",'Assumptions &amp; Inputs'!$A$31:$F$69,3,FALSE),0),0)</f>
        <v>17816.399999999998</v>
      </c>
      <c r="CE25" s="4">
        <f>IF(BR25=1,((AJ25+(IF(R25="IN-07",'Assumptions &amp; Inputs'!$D$65,AG25))*AM25)*AS25)+AX25+(((AJ25+(IF(R25="IN-07",'Assumptions &amp; Inputs'!$D$65,AG25))*AM25)*AS25)*AZ25)+IF(BD25="Yes",(((AJ25+(IF(R25="IN-07",'Assumptions &amp; Inputs'!$D$65,AG25))*AM25)*AS25)+AX25)*VLOOKUP("IN-34",'Assumptions &amp; Inputs'!$A$31:$F$69,4,FALSE),0),0)</f>
        <v>24239.25</v>
      </c>
      <c r="CF25" s="4">
        <f>IF(BR25=1,((AK25+(IF(R25="IN-07",'Assumptions &amp; Inputs'!$E$65,AH25))*AN25)*AS25)+AY25+(((AK25+(IF(R25="IN-07",'Assumptions &amp; Inputs'!$E$65,AH25))*AN25)*AS25)*AZ25)+IF(BD25="Yes",(((AK25+(IF(R25="IN-07",'Assumptions &amp; Inputs'!$E$65,AH25))*AN25)*AS25)+AY25)*VLOOKUP("IN-34",'Assumptions &amp; Inputs'!$A$31:$F$69,5,FALSE),0),0)</f>
        <v>98287.5</v>
      </c>
      <c r="CG25" s="4">
        <f>IF(BS25=1,((AI25+(IF(R25="IN-07",0,AF25))*AL25)*AS25)+AW25+(((AI25+(IF(R25="IN-07",0,AF25))*AL25)*AS25)*AZ25)+IF(BD25="Yes",(((AI25+(IF(R25="IN-07",0,AF25))*AL25)*AS25)+AW25)*VLOOKUP("IN-34",'Assumptions &amp; Inputs'!$A$31:$F$69,3,FALSE),0),0)</f>
        <v>0</v>
      </c>
      <c r="CH25" s="4">
        <f>IF(BS25=1,((AJ25+(IF(R25="IN-07",0,AG25))*AM25)*AS25)+AX25+(((AJ25+(IF(R25="IN-07",0,AG25))*AM25)*AS25)*AZ25)+IF(BD25="Yes",(((AJ25+(IF(R25="IN-07",0,AG25))*AM25)*AS25)+AX25)*VLOOKUP("IN-34",'Assumptions &amp; Inputs'!$A$31:$F$69,4,FALSE),0),0)</f>
        <v>0</v>
      </c>
      <c r="CI25" s="4">
        <f>IF(BS25=1,((AK25+(IF(R25="IN-07",0,AH25))*AN25)*AS25)+AY25+(((AK25+(IF(R25="IN-07",0,AH25))*AN25)*AS25)*AZ25)+IF(BD25="Yes",(((AK25+(IF(R25="IN-07",0,AH25))*AN25)*AS25)+AY25)*VLOOKUP("IN-34",'Assumptions &amp; Inputs'!$A$31:$F$69,5,FALSE),0),0)</f>
        <v>0</v>
      </c>
      <c r="CJ25" s="4">
        <f>IF(BT25=1,((AI25+(IF(R25="IN-07",0,AF25))*AL25)*AS25)+AW25+(((AI25+(IF(R25="IN-07",0,AF25))*AL25)*AS25)*AZ25)+IF(BD25="Yes",(((AI25+(IF(R25="IN-07",0,AF25))*AL25)*AS25)+AW25)*VLOOKUP("IN-34",'Assumptions &amp; Inputs'!$A$31:$F$69,3,FALSE),0),0)</f>
        <v>0</v>
      </c>
      <c r="CK25" s="4">
        <f>IF(BT25=1,((AJ25+(IF(R25="IN-07",0,AG25))*AM25)*AS25)+AX25+(((AJ25+(IF(R25="IN-07",0,AG25))*AM25)*AS25)*AZ25)+IF(BD25="Yes",(((AJ25+(IF(R25="IN-07",0,AG25))*AM25)*AS25)+AX25)*VLOOKUP("IN-34",'Assumptions &amp; Inputs'!$A$31:$F$69,4,FALSE),0),0)</f>
        <v>0</v>
      </c>
      <c r="CL25" s="4">
        <f>IF(BT25=1,((AK25+(IF(R25="IN-07",0,AH25))*AN25)*AS25)+AY25+(((AK25+(IF(R25="IN-07",0,AH25))*AN25)*AS25)*AZ25)+IF(BD25="Yes",(((AK25+(IF(R25="IN-07",0,AH25))*AN25)*AS25)+AY25)*VLOOKUP("IN-34",'Assumptions &amp; Inputs'!$A$31:$F$69,5,FALSE),0),0)</f>
        <v>0</v>
      </c>
    </row>
    <row r="26" spans="1:90" ht="43.5" x14ac:dyDescent="0.35">
      <c r="A26" s="2" t="s">
        <v>828</v>
      </c>
      <c r="B26" s="2" t="s">
        <v>182</v>
      </c>
      <c r="C26" s="2" t="s">
        <v>48</v>
      </c>
      <c r="D26" s="2" t="s">
        <v>53</v>
      </c>
      <c r="E26" s="2" t="s">
        <v>829</v>
      </c>
      <c r="F26" s="2" t="s">
        <v>830</v>
      </c>
      <c r="G26" s="2" t="s">
        <v>831</v>
      </c>
      <c r="H26" s="2" t="s">
        <v>832</v>
      </c>
      <c r="I26" s="2" t="s">
        <v>810</v>
      </c>
      <c r="J26" s="2" t="s">
        <v>833</v>
      </c>
      <c r="K26" s="2" t="s">
        <v>834</v>
      </c>
      <c r="L26" s="2" t="s">
        <v>810</v>
      </c>
      <c r="M26" s="2" t="s">
        <v>532</v>
      </c>
      <c r="N26" s="2" t="s">
        <v>180</v>
      </c>
      <c r="O26" s="2" t="s">
        <v>813</v>
      </c>
      <c r="P26" s="2" t="s">
        <v>627</v>
      </c>
      <c r="Q26" s="2" t="s">
        <v>835</v>
      </c>
      <c r="R26" s="2" t="s">
        <v>310</v>
      </c>
      <c r="S26" s="2" t="s">
        <v>686</v>
      </c>
      <c r="T26" s="2" t="s">
        <v>629</v>
      </c>
      <c r="U26" s="2" t="s">
        <v>836</v>
      </c>
      <c r="V26" s="2" t="s">
        <v>815</v>
      </c>
      <c r="W26" s="2" t="s">
        <v>631</v>
      </c>
      <c r="X26" s="2" t="s">
        <v>625</v>
      </c>
      <c r="Y26" s="2" t="s">
        <v>837</v>
      </c>
      <c r="Z26" s="2" t="s">
        <v>543</v>
      </c>
      <c r="AA26" s="2" t="s">
        <v>634</v>
      </c>
      <c r="AB26" s="2" t="s">
        <v>36</v>
      </c>
      <c r="AC26" s="2" t="s">
        <v>838</v>
      </c>
      <c r="AD26" s="2" t="s">
        <v>636</v>
      </c>
      <c r="AE26" s="18">
        <f>IF(ISNUMBER(SEARCH('Scenario Definitions'!$C$5,N26)),1,0)</f>
        <v>1</v>
      </c>
      <c r="AF26" s="18">
        <f>IFERROR(VLOOKUP(R26,'Assumptions &amp; Inputs'!$A$31:$F$69,3,FALSE),0)</f>
        <v>3</v>
      </c>
      <c r="AG26" s="18">
        <f>IFERROR(VLOOKUP(R26,'Assumptions &amp; Inputs'!$A$31:$F$69,4,FALSE),0)</f>
        <v>3</v>
      </c>
      <c r="AH26" s="19">
        <f>IFERROR(VLOOKUP(R26,'Assumptions &amp; Inputs'!$A$31:$F$69,5,FALSE),0)</f>
        <v>5</v>
      </c>
      <c r="AI26" s="11">
        <v>0</v>
      </c>
      <c r="AJ26" s="11">
        <v>0</v>
      </c>
      <c r="AK26" s="11">
        <v>0</v>
      </c>
      <c r="AL26" s="11">
        <v>40.5</v>
      </c>
      <c r="AM26" s="11">
        <v>54</v>
      </c>
      <c r="AN26" s="11">
        <v>81</v>
      </c>
      <c r="AO26" s="37">
        <f t="shared" si="0"/>
        <v>121.5</v>
      </c>
      <c r="AP26" s="18">
        <f t="shared" si="1"/>
        <v>162</v>
      </c>
      <c r="AQ26" s="19">
        <f t="shared" si="2"/>
        <v>405</v>
      </c>
      <c r="AR26" s="58" t="s">
        <v>420</v>
      </c>
      <c r="AS26" s="33">
        <f>IFERROR(VLOOKUP(AR26,'Assumptions &amp; Inputs'!$A$73:$I$100,9,FALSE),0)</f>
        <v>210</v>
      </c>
      <c r="AT26" s="26">
        <f t="shared" si="3"/>
        <v>25515</v>
      </c>
      <c r="AU26" s="26">
        <f t="shared" si="4"/>
        <v>34020</v>
      </c>
      <c r="AV26" s="27">
        <f t="shared" si="5"/>
        <v>85050</v>
      </c>
      <c r="AW26" s="57">
        <v>0</v>
      </c>
      <c r="AX26" s="57">
        <v>10000</v>
      </c>
      <c r="AY26" s="57">
        <v>50000</v>
      </c>
      <c r="AZ26" s="33">
        <f>IFERROR(VLOOKUP(C26,'Assumptions &amp; Inputs'!$A$104:$B$107,2,FALSE),0)</f>
        <v>0.35</v>
      </c>
      <c r="BA26" s="26">
        <f t="shared" si="6"/>
        <v>8930.25</v>
      </c>
      <c r="BB26" s="26">
        <f t="shared" si="7"/>
        <v>11907</v>
      </c>
      <c r="BC26" s="27">
        <f t="shared" si="8"/>
        <v>29767.499999999996</v>
      </c>
      <c r="BD26" s="57" t="s">
        <v>209</v>
      </c>
      <c r="BE26" s="33">
        <f>IF(BD26="Yes",(AT26+AW26)*VLOOKUP("IN-34",'Assumptions &amp; Inputs'!$A$31:$F$69,3,FALSE),0)</f>
        <v>1275.75</v>
      </c>
      <c r="BF26" s="26">
        <f>IF(BD26="Yes",(AU26+AX26)*VLOOKUP("IN-34",'Assumptions &amp; Inputs'!$A$31:$F$69,4,FALSE),0)</f>
        <v>3301.5</v>
      </c>
      <c r="BG26" s="26">
        <f>IF(BD26="Yes",(AV26+AY26)*VLOOKUP("IN-34",'Assumptions &amp; Inputs'!$A$31:$F$69,5,FALSE),0)</f>
        <v>20257.5</v>
      </c>
      <c r="BH26" s="26">
        <f t="shared" si="9"/>
        <v>35721</v>
      </c>
      <c r="BI26" s="26">
        <f t="shared" si="10"/>
        <v>59228.5</v>
      </c>
      <c r="BJ26" s="27">
        <f t="shared" si="11"/>
        <v>185075</v>
      </c>
      <c r="BK26" s="58" t="s">
        <v>548</v>
      </c>
      <c r="BL26" s="58" t="s">
        <v>549</v>
      </c>
      <c r="BM26" s="58" t="s">
        <v>634</v>
      </c>
      <c r="BN26" s="58" t="s">
        <v>550</v>
      </c>
      <c r="BO26" s="5">
        <f t="shared" si="12"/>
        <v>1</v>
      </c>
      <c r="BP26" s="5">
        <f t="shared" si="13"/>
        <v>1</v>
      </c>
      <c r="BQ26" s="5">
        <f t="shared" si="14"/>
        <v>1</v>
      </c>
      <c r="BR26" s="5">
        <f t="shared" si="15"/>
        <v>1</v>
      </c>
      <c r="BS26" s="5">
        <f t="shared" si="16"/>
        <v>0</v>
      </c>
      <c r="BT26" s="5">
        <f t="shared" si="17"/>
        <v>0</v>
      </c>
      <c r="BU26" s="4">
        <f>IF(BO26=1,((AI26+(IF(R26="IN-07",'Assumptions &amp; Inputs'!$C$66,AF26))*AL26)*AS26)+AW26+(((AI26+(IF(R26="IN-07",'Assumptions &amp; Inputs'!$C$66,AF26))*AL26)*AS26)*AZ26)+IF(BD26="Yes",(((AI26+(IF(R26="IN-07",'Assumptions &amp; Inputs'!$C$66,AF26))*AL26)*AS26)+AW26)*VLOOKUP("IN-34",'Assumptions &amp; Inputs'!$A$31:$F$69,3,FALSE),0),0)</f>
        <v>35721</v>
      </c>
      <c r="BV26" s="4">
        <f>IF(BO26=1,((AJ26+(IF(R26="IN-07",'Assumptions &amp; Inputs'!$D$66,AG26))*AM26)*AS26)+AX26+(((AJ26+(IF(R26="IN-07",'Assumptions &amp; Inputs'!$D$66,AG26))*AM26)*AS26)*AZ26)+IF(BD26="Yes",(((AJ26+(IF(R26="IN-07",'Assumptions &amp; Inputs'!$D$66,AG26))*AM26)*AS26)+AX26)*VLOOKUP("IN-34",'Assumptions &amp; Inputs'!$A$31:$F$69,4,FALSE),0),0)</f>
        <v>91547.5</v>
      </c>
      <c r="BW26" s="4">
        <f>IF(BO26=1,((AK26+(IF(R26="IN-07",'Assumptions &amp; Inputs'!$E$66,AH26))*AN26)*AS26)+AY26+(((AK26+(IF(R26="IN-07",'Assumptions &amp; Inputs'!$E$66,AH26))*AN26)*AS26)*AZ26)+IF(BD26="Yes",(((AK26+(IF(R26="IN-07",'Assumptions &amp; Inputs'!$E$66,AH26))*AN26)*AS26)+AY26)*VLOOKUP("IN-34",'Assumptions &amp; Inputs'!$A$31:$F$69,5,FALSE),0),0)</f>
        <v>261620</v>
      </c>
      <c r="BX26" s="4">
        <f>IF(BP26=1,((AI26+(IF(R26="IN-07",'Assumptions &amp; Inputs'!$C$66,AF26))*AL26)*AS26)+AW26+(((AI26+(IF(R26="IN-07",'Assumptions &amp; Inputs'!$C$66,AF26))*AL26)*AS26)*AZ26)+IF(BD26="Yes",(((AI26+(IF(R26="IN-07",'Assumptions &amp; Inputs'!$C$66,AF26))*AL26)*AS26)+AW26)*VLOOKUP("IN-34",'Assumptions &amp; Inputs'!$A$31:$F$69,3,FALSE),0),0)</f>
        <v>35721</v>
      </c>
      <c r="BY26" s="4">
        <f>IF(BP26=1,((AJ26+(IF(R26="IN-07",'Assumptions &amp; Inputs'!$D$66,AG26))*AM26)*AS26)+AX26+(((AJ26+(IF(R26="IN-07",'Assumptions &amp; Inputs'!$D$66,AG26))*AM26)*AS26)*AZ26)+IF(BD26="Yes",(((AJ26+(IF(R26="IN-07",'Assumptions &amp; Inputs'!$D$66,AG26))*AM26)*AS26)+AX26)*VLOOKUP("IN-34",'Assumptions &amp; Inputs'!$A$31:$F$69,4,FALSE),0),0)</f>
        <v>91547.5</v>
      </c>
      <c r="BZ26" s="4">
        <f>IF(BP26=1,((AK26+(IF(R26="IN-07",'Assumptions &amp; Inputs'!$E$66,AH26))*AN26)*AS26)+AY26+(((AK26+(IF(R26="IN-07",'Assumptions &amp; Inputs'!$E$66,AH26))*AN26)*AS26)*AZ26)+IF(BD26="Yes",(((AK26+(IF(R26="IN-07",'Assumptions &amp; Inputs'!$E$66,AH26))*AN26)*AS26)+AY26)*VLOOKUP("IN-34",'Assumptions &amp; Inputs'!$A$31:$F$69,5,FALSE),0),0)</f>
        <v>261620</v>
      </c>
      <c r="CA26" s="4">
        <f>IF(BQ26=1,((AI26+(IF(R26="IN-07",'Assumptions &amp; Inputs'!$C$65,AF26))*AL26)*AS26)+AW26+(((AI26+(IF(R26="IN-07",'Assumptions &amp; Inputs'!$C$65,AF26))*AL26)*AS26)*AZ26)+IF(BD26="Yes",(((AI26+(IF(R26="IN-07",'Assumptions &amp; Inputs'!$C$65,AF26))*AL26)*AS26)+AW26)*VLOOKUP("IN-34",'Assumptions &amp; Inputs'!$A$31:$F$69,3,FALSE),0),0)</f>
        <v>35721</v>
      </c>
      <c r="CB26" s="4">
        <f>IF(BQ26=1,((AJ26+(IF(R26="IN-07",'Assumptions &amp; Inputs'!$D$65,AG26))*AM26)*AS26)+AX26+(((AJ26+(IF(R26="IN-07",'Assumptions &amp; Inputs'!$D$65,AG26))*AM26)*AS26)*AZ26)+IF(BD26="Yes",(((AJ26+(IF(R26="IN-07",'Assumptions &amp; Inputs'!$D$65,AG26))*AM26)*AS26)+AX26)*VLOOKUP("IN-34",'Assumptions &amp; Inputs'!$A$31:$F$69,4,FALSE),0),0)</f>
        <v>59228.5</v>
      </c>
      <c r="CC26" s="4">
        <f>IF(BQ26=1,((AK26+(IF(R26="IN-07",'Assumptions &amp; Inputs'!$E$65,AH26))*AN26)*AS26)+AY26+(((AK26+(IF(R26="IN-07",'Assumptions &amp; Inputs'!$E$65,AH26))*AN26)*AS26)*AZ26)+IF(BD26="Yes",(((AK26+(IF(R26="IN-07",'Assumptions &amp; Inputs'!$E$65,AH26))*AN26)*AS26)+AY26)*VLOOKUP("IN-34",'Assumptions &amp; Inputs'!$A$31:$F$69,5,FALSE),0),0)</f>
        <v>185075</v>
      </c>
      <c r="CD26" s="4">
        <f>IF(BR26=1,((AI26+(IF(R26="IN-07",'Assumptions &amp; Inputs'!$C$65,AF26))*AL26)*AS26)+AW26+(((AI26+(IF(R26="IN-07",'Assumptions &amp; Inputs'!$C$65,AF26))*AL26)*AS26)*AZ26)+IF(BD26="Yes",(((AI26+(IF(R26="IN-07",'Assumptions &amp; Inputs'!$C$65,AF26))*AL26)*AS26)+AW26)*VLOOKUP("IN-34",'Assumptions &amp; Inputs'!$A$31:$F$69,3,FALSE),0),0)</f>
        <v>35721</v>
      </c>
      <c r="CE26" s="4">
        <f>IF(BR26=1,((AJ26+(IF(R26="IN-07",'Assumptions &amp; Inputs'!$D$65,AG26))*AM26)*AS26)+AX26+(((AJ26+(IF(R26="IN-07",'Assumptions &amp; Inputs'!$D$65,AG26))*AM26)*AS26)*AZ26)+IF(BD26="Yes",(((AJ26+(IF(R26="IN-07",'Assumptions &amp; Inputs'!$D$65,AG26))*AM26)*AS26)+AX26)*VLOOKUP("IN-34",'Assumptions &amp; Inputs'!$A$31:$F$69,4,FALSE),0),0)</f>
        <v>59228.5</v>
      </c>
      <c r="CF26" s="4">
        <f>IF(BR26=1,((AK26+(IF(R26="IN-07",'Assumptions &amp; Inputs'!$E$65,AH26))*AN26)*AS26)+AY26+(((AK26+(IF(R26="IN-07",'Assumptions &amp; Inputs'!$E$65,AH26))*AN26)*AS26)*AZ26)+IF(BD26="Yes",(((AK26+(IF(R26="IN-07",'Assumptions &amp; Inputs'!$E$65,AH26))*AN26)*AS26)+AY26)*VLOOKUP("IN-34",'Assumptions &amp; Inputs'!$A$31:$F$69,5,FALSE),0),0)</f>
        <v>185075</v>
      </c>
      <c r="CG26" s="4">
        <f>IF(BS26=1,((AI26+(IF(R26="IN-07",0,AF26))*AL26)*AS26)+AW26+(((AI26+(IF(R26="IN-07",0,AF26))*AL26)*AS26)*AZ26)+IF(BD26="Yes",(((AI26+(IF(R26="IN-07",0,AF26))*AL26)*AS26)+AW26)*VLOOKUP("IN-34",'Assumptions &amp; Inputs'!$A$31:$F$69,3,FALSE),0),0)</f>
        <v>0</v>
      </c>
      <c r="CH26" s="4">
        <f>IF(BS26=1,((AJ26+(IF(R26="IN-07",0,AG26))*AM26)*AS26)+AX26+(((AJ26+(IF(R26="IN-07",0,AG26))*AM26)*AS26)*AZ26)+IF(BD26="Yes",(((AJ26+(IF(R26="IN-07",0,AG26))*AM26)*AS26)+AX26)*VLOOKUP("IN-34",'Assumptions &amp; Inputs'!$A$31:$F$69,4,FALSE),0),0)</f>
        <v>0</v>
      </c>
      <c r="CI26" s="4">
        <f>IF(BS26=1,((AK26+(IF(R26="IN-07",0,AH26))*AN26)*AS26)+AY26+(((AK26+(IF(R26="IN-07",0,AH26))*AN26)*AS26)*AZ26)+IF(BD26="Yes",(((AK26+(IF(R26="IN-07",0,AH26))*AN26)*AS26)+AY26)*VLOOKUP("IN-34",'Assumptions &amp; Inputs'!$A$31:$F$69,5,FALSE),0),0)</f>
        <v>0</v>
      </c>
      <c r="CJ26" s="4">
        <f>IF(BT26=1,((AI26+(IF(R26="IN-07",0,AF26))*AL26)*AS26)+AW26+(((AI26+(IF(R26="IN-07",0,AF26))*AL26)*AS26)*AZ26)+IF(BD26="Yes",(((AI26+(IF(R26="IN-07",0,AF26))*AL26)*AS26)+AW26)*VLOOKUP("IN-34",'Assumptions &amp; Inputs'!$A$31:$F$69,3,FALSE),0),0)</f>
        <v>0</v>
      </c>
      <c r="CK26" s="4">
        <f>IF(BT26=1,((AJ26+(IF(R26="IN-07",0,AG26))*AM26)*AS26)+AX26+(((AJ26+(IF(R26="IN-07",0,AG26))*AM26)*AS26)*AZ26)+IF(BD26="Yes",(((AJ26+(IF(R26="IN-07",0,AG26))*AM26)*AS26)+AX26)*VLOOKUP("IN-34",'Assumptions &amp; Inputs'!$A$31:$F$69,4,FALSE),0),0)</f>
        <v>0</v>
      </c>
      <c r="CL26" s="4">
        <f>IF(BT26=1,((AK26+(IF(R26="IN-07",0,AH26))*AN26)*AS26)+AY26+(((AK26+(IF(R26="IN-07",0,AH26))*AN26)*AS26)*AZ26)+IF(BD26="Yes",(((AK26+(IF(R26="IN-07",0,AH26))*AN26)*AS26)+AY26)*VLOOKUP("IN-34",'Assumptions &amp; Inputs'!$A$31:$F$69,5,FALSE),0),0)</f>
        <v>0</v>
      </c>
    </row>
    <row r="27" spans="1:90" ht="43.5" x14ac:dyDescent="0.35">
      <c r="A27" s="2" t="s">
        <v>839</v>
      </c>
      <c r="B27" s="2" t="s">
        <v>183</v>
      </c>
      <c r="C27" s="2" t="s">
        <v>48</v>
      </c>
      <c r="D27" s="2" t="s">
        <v>54</v>
      </c>
      <c r="E27" s="2" t="s">
        <v>840</v>
      </c>
      <c r="F27" s="2" t="s">
        <v>841</v>
      </c>
      <c r="G27" s="2" t="s">
        <v>842</v>
      </c>
      <c r="H27" s="2" t="s">
        <v>843</v>
      </c>
      <c r="I27" s="2" t="s">
        <v>810</v>
      </c>
      <c r="J27" s="2" t="s">
        <v>844</v>
      </c>
      <c r="K27" s="2" t="s">
        <v>845</v>
      </c>
      <c r="L27" s="2" t="s">
        <v>810</v>
      </c>
      <c r="M27" s="2" t="s">
        <v>532</v>
      </c>
      <c r="N27" s="2" t="s">
        <v>180</v>
      </c>
      <c r="O27" s="2" t="s">
        <v>813</v>
      </c>
      <c r="P27" s="2" t="s">
        <v>846</v>
      </c>
      <c r="Q27" s="2" t="s">
        <v>847</v>
      </c>
      <c r="R27" s="2" t="s">
        <v>332</v>
      </c>
      <c r="S27" s="2" t="s">
        <v>614</v>
      </c>
      <c r="T27" s="2" t="s">
        <v>848</v>
      </c>
      <c r="U27" s="2" t="s">
        <v>849</v>
      </c>
      <c r="V27" s="2" t="s">
        <v>815</v>
      </c>
      <c r="W27" s="2" t="s">
        <v>850</v>
      </c>
      <c r="X27" s="2" t="s">
        <v>647</v>
      </c>
      <c r="Y27" s="2" t="s">
        <v>851</v>
      </c>
      <c r="Z27" s="2" t="s">
        <v>852</v>
      </c>
      <c r="AA27" s="2" t="s">
        <v>853</v>
      </c>
      <c r="AB27" s="2" t="s">
        <v>36</v>
      </c>
      <c r="AC27" s="2" t="s">
        <v>854</v>
      </c>
      <c r="AD27" s="2" t="s">
        <v>662</v>
      </c>
      <c r="AE27" s="18">
        <f>IF(ISNUMBER(SEARCH('Scenario Definitions'!$C$5,N27)),1,0)</f>
        <v>1</v>
      </c>
      <c r="AF27" s="18">
        <f>IFERROR(VLOOKUP(R27,'Assumptions &amp; Inputs'!$A$31:$F$69,3,FALSE),0)</f>
        <v>1</v>
      </c>
      <c r="AG27" s="18">
        <f>IFERROR(VLOOKUP(R27,'Assumptions &amp; Inputs'!$A$31:$F$69,4,FALSE),0)</f>
        <v>1</v>
      </c>
      <c r="AH27" s="19">
        <f>IFERROR(VLOOKUP(R27,'Assumptions &amp; Inputs'!$A$31:$F$69,5,FALSE),0)</f>
        <v>1</v>
      </c>
      <c r="AI27" s="11">
        <v>120</v>
      </c>
      <c r="AJ27" s="11">
        <v>160</v>
      </c>
      <c r="AK27" s="11">
        <v>240</v>
      </c>
      <c r="AL27" s="11">
        <v>0</v>
      </c>
      <c r="AM27" s="11">
        <v>0</v>
      </c>
      <c r="AN27" s="11">
        <v>0</v>
      </c>
      <c r="AO27" s="37">
        <f t="shared" si="0"/>
        <v>120</v>
      </c>
      <c r="AP27" s="18">
        <f t="shared" si="1"/>
        <v>160</v>
      </c>
      <c r="AQ27" s="19">
        <f t="shared" si="2"/>
        <v>240</v>
      </c>
      <c r="AR27" s="58" t="s">
        <v>418</v>
      </c>
      <c r="AS27" s="33">
        <f>IFERROR(VLOOKUP(AR27,'Assumptions &amp; Inputs'!$A$73:$I$100,9,FALSE),0)</f>
        <v>165</v>
      </c>
      <c r="AT27" s="26">
        <f t="shared" si="3"/>
        <v>19800</v>
      </c>
      <c r="AU27" s="26">
        <f t="shared" si="4"/>
        <v>26400</v>
      </c>
      <c r="AV27" s="27">
        <f t="shared" si="5"/>
        <v>39600</v>
      </c>
      <c r="AW27" s="57">
        <v>0</v>
      </c>
      <c r="AX27" s="57">
        <v>5000</v>
      </c>
      <c r="AY27" s="57">
        <v>15000</v>
      </c>
      <c r="AZ27" s="33">
        <f>IFERROR(VLOOKUP(C27,'Assumptions &amp; Inputs'!$A$104:$B$107,2,FALSE),0)</f>
        <v>0.35</v>
      </c>
      <c r="BA27" s="26">
        <f t="shared" si="6"/>
        <v>6930</v>
      </c>
      <c r="BB27" s="26">
        <f t="shared" si="7"/>
        <v>9240</v>
      </c>
      <c r="BC27" s="27">
        <f t="shared" si="8"/>
        <v>13860</v>
      </c>
      <c r="BD27" s="57" t="s">
        <v>209</v>
      </c>
      <c r="BE27" s="33">
        <f>IF(BD27="Yes",(AT27+AW27)*VLOOKUP("IN-34",'Assumptions &amp; Inputs'!$A$31:$F$69,3,FALSE),0)</f>
        <v>990</v>
      </c>
      <c r="BF27" s="26">
        <f>IF(BD27="Yes",(AU27+AX27)*VLOOKUP("IN-34",'Assumptions &amp; Inputs'!$A$31:$F$69,4,FALSE),0)</f>
        <v>2355</v>
      </c>
      <c r="BG27" s="26">
        <f>IF(BD27="Yes",(AV27+AY27)*VLOOKUP("IN-34",'Assumptions &amp; Inputs'!$A$31:$F$69,5,FALSE),0)</f>
        <v>8190</v>
      </c>
      <c r="BH27" s="26">
        <f t="shared" si="9"/>
        <v>27720</v>
      </c>
      <c r="BI27" s="26">
        <f t="shared" si="10"/>
        <v>42995</v>
      </c>
      <c r="BJ27" s="27">
        <f t="shared" si="11"/>
        <v>76650</v>
      </c>
      <c r="BK27" s="58" t="s">
        <v>548</v>
      </c>
      <c r="BL27" s="58" t="s">
        <v>549</v>
      </c>
      <c r="BM27" s="58" t="s">
        <v>853</v>
      </c>
      <c r="BN27" s="58" t="s">
        <v>550</v>
      </c>
      <c r="BO27" s="5">
        <f t="shared" si="12"/>
        <v>1</v>
      </c>
      <c r="BP27" s="5">
        <f t="shared" si="13"/>
        <v>1</v>
      </c>
      <c r="BQ27" s="5">
        <f t="shared" si="14"/>
        <v>1</v>
      </c>
      <c r="BR27" s="5">
        <f t="shared" si="15"/>
        <v>1</v>
      </c>
      <c r="BS27" s="5">
        <f t="shared" si="16"/>
        <v>0</v>
      </c>
      <c r="BT27" s="5">
        <f t="shared" si="17"/>
        <v>0</v>
      </c>
      <c r="BU27" s="4">
        <f>IF(BO27=1,((AI27+(IF(R27="IN-07",'Assumptions &amp; Inputs'!$C$66,AF27))*AL27)*AS27)+AW27+(((AI27+(IF(R27="IN-07",'Assumptions &amp; Inputs'!$C$66,AF27))*AL27)*AS27)*AZ27)+IF(BD27="Yes",(((AI27+(IF(R27="IN-07",'Assumptions &amp; Inputs'!$C$66,AF27))*AL27)*AS27)+AW27)*VLOOKUP("IN-34",'Assumptions &amp; Inputs'!$A$31:$F$69,3,FALSE),0),0)</f>
        <v>27720</v>
      </c>
      <c r="BV27" s="4">
        <f>IF(BO27=1,((AJ27+(IF(R27="IN-07",'Assumptions &amp; Inputs'!$D$66,AG27))*AM27)*AS27)+AX27+(((AJ27+(IF(R27="IN-07",'Assumptions &amp; Inputs'!$D$66,AG27))*AM27)*AS27)*AZ27)+IF(BD27="Yes",(((AJ27+(IF(R27="IN-07",'Assumptions &amp; Inputs'!$D$66,AG27))*AM27)*AS27)+AX27)*VLOOKUP("IN-34",'Assumptions &amp; Inputs'!$A$31:$F$69,4,FALSE),0),0)</f>
        <v>42995</v>
      </c>
      <c r="BW27" s="4">
        <f>IF(BO27=1,((AK27+(IF(R27="IN-07",'Assumptions &amp; Inputs'!$E$66,AH27))*AN27)*AS27)+AY27+(((AK27+(IF(R27="IN-07",'Assumptions &amp; Inputs'!$E$66,AH27))*AN27)*AS27)*AZ27)+IF(BD27="Yes",(((AK27+(IF(R27="IN-07",'Assumptions &amp; Inputs'!$E$66,AH27))*AN27)*AS27)+AY27)*VLOOKUP("IN-34",'Assumptions &amp; Inputs'!$A$31:$F$69,5,FALSE),0),0)</f>
        <v>76650</v>
      </c>
      <c r="BX27" s="4">
        <f>IF(BP27=1,((AI27+(IF(R27="IN-07",'Assumptions &amp; Inputs'!$C$66,AF27))*AL27)*AS27)+AW27+(((AI27+(IF(R27="IN-07",'Assumptions &amp; Inputs'!$C$66,AF27))*AL27)*AS27)*AZ27)+IF(BD27="Yes",(((AI27+(IF(R27="IN-07",'Assumptions &amp; Inputs'!$C$66,AF27))*AL27)*AS27)+AW27)*VLOOKUP("IN-34",'Assumptions &amp; Inputs'!$A$31:$F$69,3,FALSE),0),0)</f>
        <v>27720</v>
      </c>
      <c r="BY27" s="4">
        <f>IF(BP27=1,((AJ27+(IF(R27="IN-07",'Assumptions &amp; Inputs'!$D$66,AG27))*AM27)*AS27)+AX27+(((AJ27+(IF(R27="IN-07",'Assumptions &amp; Inputs'!$D$66,AG27))*AM27)*AS27)*AZ27)+IF(BD27="Yes",(((AJ27+(IF(R27="IN-07",'Assumptions &amp; Inputs'!$D$66,AG27))*AM27)*AS27)+AX27)*VLOOKUP("IN-34",'Assumptions &amp; Inputs'!$A$31:$F$69,4,FALSE),0),0)</f>
        <v>42995</v>
      </c>
      <c r="BZ27" s="4">
        <f>IF(BP27=1,((AK27+(IF(R27="IN-07",'Assumptions &amp; Inputs'!$E$66,AH27))*AN27)*AS27)+AY27+(((AK27+(IF(R27="IN-07",'Assumptions &amp; Inputs'!$E$66,AH27))*AN27)*AS27)*AZ27)+IF(BD27="Yes",(((AK27+(IF(R27="IN-07",'Assumptions &amp; Inputs'!$E$66,AH27))*AN27)*AS27)+AY27)*VLOOKUP("IN-34",'Assumptions &amp; Inputs'!$A$31:$F$69,5,FALSE),0),0)</f>
        <v>76650</v>
      </c>
      <c r="CA27" s="4">
        <f>IF(BQ27=1,((AI27+(IF(R27="IN-07",'Assumptions &amp; Inputs'!$C$65,AF27))*AL27)*AS27)+AW27+(((AI27+(IF(R27="IN-07",'Assumptions &amp; Inputs'!$C$65,AF27))*AL27)*AS27)*AZ27)+IF(BD27="Yes",(((AI27+(IF(R27="IN-07",'Assumptions &amp; Inputs'!$C$65,AF27))*AL27)*AS27)+AW27)*VLOOKUP("IN-34",'Assumptions &amp; Inputs'!$A$31:$F$69,3,FALSE),0),0)</f>
        <v>27720</v>
      </c>
      <c r="CB27" s="4">
        <f>IF(BQ27=1,((AJ27+(IF(R27="IN-07",'Assumptions &amp; Inputs'!$D$65,AG27))*AM27)*AS27)+AX27+(((AJ27+(IF(R27="IN-07",'Assumptions &amp; Inputs'!$D$65,AG27))*AM27)*AS27)*AZ27)+IF(BD27="Yes",(((AJ27+(IF(R27="IN-07",'Assumptions &amp; Inputs'!$D$65,AG27))*AM27)*AS27)+AX27)*VLOOKUP("IN-34",'Assumptions &amp; Inputs'!$A$31:$F$69,4,FALSE),0),0)</f>
        <v>42995</v>
      </c>
      <c r="CC27" s="4">
        <f>IF(BQ27=1,((AK27+(IF(R27="IN-07",'Assumptions &amp; Inputs'!$E$65,AH27))*AN27)*AS27)+AY27+(((AK27+(IF(R27="IN-07",'Assumptions &amp; Inputs'!$E$65,AH27))*AN27)*AS27)*AZ27)+IF(BD27="Yes",(((AK27+(IF(R27="IN-07",'Assumptions &amp; Inputs'!$E$65,AH27))*AN27)*AS27)+AY27)*VLOOKUP("IN-34",'Assumptions &amp; Inputs'!$A$31:$F$69,5,FALSE),0),0)</f>
        <v>76650</v>
      </c>
      <c r="CD27" s="4">
        <f>IF(BR27=1,((AI27+(IF(R27="IN-07",'Assumptions &amp; Inputs'!$C$65,AF27))*AL27)*AS27)+AW27+(((AI27+(IF(R27="IN-07",'Assumptions &amp; Inputs'!$C$65,AF27))*AL27)*AS27)*AZ27)+IF(BD27="Yes",(((AI27+(IF(R27="IN-07",'Assumptions &amp; Inputs'!$C$65,AF27))*AL27)*AS27)+AW27)*VLOOKUP("IN-34",'Assumptions &amp; Inputs'!$A$31:$F$69,3,FALSE),0),0)</f>
        <v>27720</v>
      </c>
      <c r="CE27" s="4">
        <f>IF(BR27=1,((AJ27+(IF(R27="IN-07",'Assumptions &amp; Inputs'!$D$65,AG27))*AM27)*AS27)+AX27+(((AJ27+(IF(R27="IN-07",'Assumptions &amp; Inputs'!$D$65,AG27))*AM27)*AS27)*AZ27)+IF(BD27="Yes",(((AJ27+(IF(R27="IN-07",'Assumptions &amp; Inputs'!$D$65,AG27))*AM27)*AS27)+AX27)*VLOOKUP("IN-34",'Assumptions &amp; Inputs'!$A$31:$F$69,4,FALSE),0),0)</f>
        <v>42995</v>
      </c>
      <c r="CF27" s="4">
        <f>IF(BR27=1,((AK27+(IF(R27="IN-07",'Assumptions &amp; Inputs'!$E$65,AH27))*AN27)*AS27)+AY27+(((AK27+(IF(R27="IN-07",'Assumptions &amp; Inputs'!$E$65,AH27))*AN27)*AS27)*AZ27)+IF(BD27="Yes",(((AK27+(IF(R27="IN-07",'Assumptions &amp; Inputs'!$E$65,AH27))*AN27)*AS27)+AY27)*VLOOKUP("IN-34",'Assumptions &amp; Inputs'!$A$31:$F$69,5,FALSE),0),0)</f>
        <v>76650</v>
      </c>
      <c r="CG27" s="4">
        <f>IF(BS27=1,((AI27+(IF(R27="IN-07",0,AF27))*AL27)*AS27)+AW27+(((AI27+(IF(R27="IN-07",0,AF27))*AL27)*AS27)*AZ27)+IF(BD27="Yes",(((AI27+(IF(R27="IN-07",0,AF27))*AL27)*AS27)+AW27)*VLOOKUP("IN-34",'Assumptions &amp; Inputs'!$A$31:$F$69,3,FALSE),0),0)</f>
        <v>0</v>
      </c>
      <c r="CH27" s="4">
        <f>IF(BS27=1,((AJ27+(IF(R27="IN-07",0,AG27))*AM27)*AS27)+AX27+(((AJ27+(IF(R27="IN-07",0,AG27))*AM27)*AS27)*AZ27)+IF(BD27="Yes",(((AJ27+(IF(R27="IN-07",0,AG27))*AM27)*AS27)+AX27)*VLOOKUP("IN-34",'Assumptions &amp; Inputs'!$A$31:$F$69,4,FALSE),0),0)</f>
        <v>0</v>
      </c>
      <c r="CI27" s="4">
        <f>IF(BS27=1,((AK27+(IF(R27="IN-07",0,AH27))*AN27)*AS27)+AY27+(((AK27+(IF(R27="IN-07",0,AH27))*AN27)*AS27)*AZ27)+IF(BD27="Yes",(((AK27+(IF(R27="IN-07",0,AH27))*AN27)*AS27)+AY27)*VLOOKUP("IN-34",'Assumptions &amp; Inputs'!$A$31:$F$69,5,FALSE),0),0)</f>
        <v>0</v>
      </c>
      <c r="CJ27" s="4">
        <f>IF(BT27=1,((AI27+(IF(R27="IN-07",0,AF27))*AL27)*AS27)+AW27+(((AI27+(IF(R27="IN-07",0,AF27))*AL27)*AS27)*AZ27)+IF(BD27="Yes",(((AI27+(IF(R27="IN-07",0,AF27))*AL27)*AS27)+AW27)*VLOOKUP("IN-34",'Assumptions &amp; Inputs'!$A$31:$F$69,3,FALSE),0),0)</f>
        <v>0</v>
      </c>
      <c r="CK27" s="4">
        <f>IF(BT27=1,((AJ27+(IF(R27="IN-07",0,AG27))*AM27)*AS27)+AX27+(((AJ27+(IF(R27="IN-07",0,AG27))*AM27)*AS27)*AZ27)+IF(BD27="Yes",(((AJ27+(IF(R27="IN-07",0,AG27))*AM27)*AS27)+AX27)*VLOOKUP("IN-34",'Assumptions &amp; Inputs'!$A$31:$F$69,4,FALSE),0),0)</f>
        <v>0</v>
      </c>
      <c r="CL27" s="4">
        <f>IF(BT27=1,((AK27+(IF(R27="IN-07",0,AH27))*AN27)*AS27)+AY27+(((AK27+(IF(R27="IN-07",0,AH27))*AN27)*AS27)*AZ27)+IF(BD27="Yes",(((AK27+(IF(R27="IN-07",0,AH27))*AN27)*AS27)+AY27)*VLOOKUP("IN-34",'Assumptions &amp; Inputs'!$A$31:$F$69,5,FALSE),0),0)</f>
        <v>0</v>
      </c>
    </row>
    <row r="28" spans="1:90" ht="43.5" x14ac:dyDescent="0.35">
      <c r="A28" s="2" t="s">
        <v>855</v>
      </c>
      <c r="B28" s="2" t="s">
        <v>184</v>
      </c>
      <c r="C28" s="2" t="s">
        <v>48</v>
      </c>
      <c r="D28" s="2" t="s">
        <v>54</v>
      </c>
      <c r="E28" s="2" t="s">
        <v>856</v>
      </c>
      <c r="F28" s="2" t="s">
        <v>857</v>
      </c>
      <c r="G28" s="2" t="s">
        <v>858</v>
      </c>
      <c r="H28" s="2" t="s">
        <v>859</v>
      </c>
      <c r="I28" s="2" t="s">
        <v>810</v>
      </c>
      <c r="J28" s="2" t="s">
        <v>860</v>
      </c>
      <c r="K28" s="2" t="s">
        <v>861</v>
      </c>
      <c r="L28" s="2" t="s">
        <v>810</v>
      </c>
      <c r="M28" s="2" t="s">
        <v>532</v>
      </c>
      <c r="N28" s="2" t="s">
        <v>180</v>
      </c>
      <c r="O28" s="2" t="s">
        <v>813</v>
      </c>
      <c r="P28" s="2" t="s">
        <v>593</v>
      </c>
      <c r="Q28" s="2" t="s">
        <v>862</v>
      </c>
      <c r="R28" s="2" t="s">
        <v>306</v>
      </c>
      <c r="S28" s="2" t="s">
        <v>863</v>
      </c>
      <c r="T28" s="2" t="s">
        <v>864</v>
      </c>
      <c r="U28" s="2" t="s">
        <v>865</v>
      </c>
      <c r="V28" s="2" t="s">
        <v>815</v>
      </c>
      <c r="W28" s="2" t="s">
        <v>850</v>
      </c>
      <c r="X28" s="2" t="s">
        <v>642</v>
      </c>
      <c r="Y28" s="2" t="s">
        <v>866</v>
      </c>
      <c r="Z28" s="2" t="s">
        <v>852</v>
      </c>
      <c r="AA28" s="2" t="s">
        <v>692</v>
      </c>
      <c r="AB28" s="2" t="s">
        <v>36</v>
      </c>
      <c r="AC28" s="2" t="s">
        <v>867</v>
      </c>
      <c r="AD28" s="2" t="s">
        <v>868</v>
      </c>
      <c r="AE28" s="18">
        <f>IF(ISNUMBER(SEARCH('Scenario Definitions'!$C$5,N28)),1,0)</f>
        <v>1</v>
      </c>
      <c r="AF28" s="18">
        <f>IFERROR(VLOOKUP(R28,'Assumptions &amp; Inputs'!$A$31:$F$69,3,FALSE),0)</f>
        <v>3</v>
      </c>
      <c r="AG28" s="18">
        <f>IFERROR(VLOOKUP(R28,'Assumptions &amp; Inputs'!$A$31:$F$69,4,FALSE),0)</f>
        <v>5</v>
      </c>
      <c r="AH28" s="19">
        <f>IFERROR(VLOOKUP(R28,'Assumptions &amp; Inputs'!$A$31:$F$69,5,FALSE),0)</f>
        <v>8</v>
      </c>
      <c r="AI28" s="11">
        <v>0</v>
      </c>
      <c r="AJ28" s="11">
        <v>0</v>
      </c>
      <c r="AK28" s="11">
        <v>0</v>
      </c>
      <c r="AL28" s="11">
        <v>24.3</v>
      </c>
      <c r="AM28" s="11">
        <v>32.4</v>
      </c>
      <c r="AN28" s="11">
        <v>48.6</v>
      </c>
      <c r="AO28" s="37">
        <f t="shared" si="0"/>
        <v>72.900000000000006</v>
      </c>
      <c r="AP28" s="18">
        <f t="shared" si="1"/>
        <v>162</v>
      </c>
      <c r="AQ28" s="19">
        <f t="shared" si="2"/>
        <v>388.8</v>
      </c>
      <c r="AR28" s="58" t="s">
        <v>418</v>
      </c>
      <c r="AS28" s="33">
        <f>IFERROR(VLOOKUP(AR28,'Assumptions &amp; Inputs'!$A$73:$I$100,9,FALSE),0)</f>
        <v>165</v>
      </c>
      <c r="AT28" s="26">
        <f t="shared" si="3"/>
        <v>12028.500000000002</v>
      </c>
      <c r="AU28" s="26">
        <f t="shared" si="4"/>
        <v>26730</v>
      </c>
      <c r="AV28" s="27">
        <f t="shared" si="5"/>
        <v>64152</v>
      </c>
      <c r="AW28" s="57">
        <v>3000</v>
      </c>
      <c r="AX28" s="57">
        <v>10000</v>
      </c>
      <c r="AY28" s="57">
        <v>30000</v>
      </c>
      <c r="AZ28" s="33">
        <f>IFERROR(VLOOKUP(C28,'Assumptions &amp; Inputs'!$A$104:$B$107,2,FALSE),0)</f>
        <v>0.35</v>
      </c>
      <c r="BA28" s="26">
        <f t="shared" si="6"/>
        <v>4209.9750000000004</v>
      </c>
      <c r="BB28" s="26">
        <f t="shared" si="7"/>
        <v>9355.5</v>
      </c>
      <c r="BC28" s="27">
        <f t="shared" si="8"/>
        <v>22453.199999999997</v>
      </c>
      <c r="BD28" s="57" t="s">
        <v>209</v>
      </c>
      <c r="BE28" s="33">
        <f>IF(BD28="Yes",(AT28+AW28)*VLOOKUP("IN-34",'Assumptions &amp; Inputs'!$A$31:$F$69,3,FALSE),0)</f>
        <v>751.42500000000018</v>
      </c>
      <c r="BF28" s="26">
        <f>IF(BD28="Yes",(AU28+AX28)*VLOOKUP("IN-34",'Assumptions &amp; Inputs'!$A$31:$F$69,4,FALSE),0)</f>
        <v>2754.75</v>
      </c>
      <c r="BG28" s="26">
        <f>IF(BD28="Yes",(AV28+AY28)*VLOOKUP("IN-34",'Assumptions &amp; Inputs'!$A$31:$F$69,5,FALSE),0)</f>
        <v>14122.8</v>
      </c>
      <c r="BH28" s="26">
        <f t="shared" si="9"/>
        <v>19989.900000000001</v>
      </c>
      <c r="BI28" s="26">
        <f t="shared" si="10"/>
        <v>48840.25</v>
      </c>
      <c r="BJ28" s="27">
        <f t="shared" si="11"/>
        <v>130728</v>
      </c>
      <c r="BK28" s="58" t="s">
        <v>548</v>
      </c>
      <c r="BL28" s="58" t="s">
        <v>549</v>
      </c>
      <c r="BM28" s="58" t="s">
        <v>692</v>
      </c>
      <c r="BN28" s="58" t="s">
        <v>550</v>
      </c>
      <c r="BO28" s="5">
        <f t="shared" si="12"/>
        <v>1</v>
      </c>
      <c r="BP28" s="5">
        <f t="shared" si="13"/>
        <v>1</v>
      </c>
      <c r="BQ28" s="5">
        <f t="shared" si="14"/>
        <v>1</v>
      </c>
      <c r="BR28" s="5">
        <f t="shared" si="15"/>
        <v>1</v>
      </c>
      <c r="BS28" s="5">
        <f t="shared" si="16"/>
        <v>0</v>
      </c>
      <c r="BT28" s="5">
        <f t="shared" si="17"/>
        <v>0</v>
      </c>
      <c r="BU28" s="4">
        <f>IF(BO28=1,((AI28+(IF(R28="IN-07",'Assumptions &amp; Inputs'!$C$66,AF28))*AL28)*AS28)+AW28+(((AI28+(IF(R28="IN-07",'Assumptions &amp; Inputs'!$C$66,AF28))*AL28)*AS28)*AZ28)+IF(BD28="Yes",(((AI28+(IF(R28="IN-07",'Assumptions &amp; Inputs'!$C$66,AF28))*AL28)*AS28)+AW28)*VLOOKUP("IN-34",'Assumptions &amp; Inputs'!$A$31:$F$69,3,FALSE),0),0)</f>
        <v>19989.900000000001</v>
      </c>
      <c r="BV28" s="4">
        <f>IF(BO28=1,((AJ28+(IF(R28="IN-07",'Assumptions &amp; Inputs'!$D$66,AG28))*AM28)*AS28)+AX28+(((AJ28+(IF(R28="IN-07",'Assumptions &amp; Inputs'!$D$66,AG28))*AM28)*AS28)*AZ28)+IF(BD28="Yes",(((AJ28+(IF(R28="IN-07",'Assumptions &amp; Inputs'!$D$66,AG28))*AM28)*AS28)+AX28)*VLOOKUP("IN-34",'Assumptions &amp; Inputs'!$A$31:$F$69,4,FALSE),0),0)</f>
        <v>48840.25</v>
      </c>
      <c r="BW28" s="4">
        <f>IF(BO28=1,((AK28+(IF(R28="IN-07",'Assumptions &amp; Inputs'!$E$66,AH28))*AN28)*AS28)+AY28+(((AK28+(IF(R28="IN-07",'Assumptions &amp; Inputs'!$E$66,AH28))*AN28)*AS28)*AZ28)+IF(BD28="Yes",(((AK28+(IF(R28="IN-07",'Assumptions &amp; Inputs'!$E$66,AH28))*AN28)*AS28)+AY28)*VLOOKUP("IN-34",'Assumptions &amp; Inputs'!$A$31:$F$69,5,FALSE),0),0)</f>
        <v>130728</v>
      </c>
      <c r="BX28" s="4">
        <f>IF(BP28=1,((AI28+(IF(R28="IN-07",'Assumptions &amp; Inputs'!$C$66,AF28))*AL28)*AS28)+AW28+(((AI28+(IF(R28="IN-07",'Assumptions &amp; Inputs'!$C$66,AF28))*AL28)*AS28)*AZ28)+IF(BD28="Yes",(((AI28+(IF(R28="IN-07",'Assumptions &amp; Inputs'!$C$66,AF28))*AL28)*AS28)+AW28)*VLOOKUP("IN-34",'Assumptions &amp; Inputs'!$A$31:$F$69,3,FALSE),0),0)</f>
        <v>19989.900000000001</v>
      </c>
      <c r="BY28" s="4">
        <f>IF(BP28=1,((AJ28+(IF(R28="IN-07",'Assumptions &amp; Inputs'!$D$66,AG28))*AM28)*AS28)+AX28+(((AJ28+(IF(R28="IN-07",'Assumptions &amp; Inputs'!$D$66,AG28))*AM28)*AS28)*AZ28)+IF(BD28="Yes",(((AJ28+(IF(R28="IN-07",'Assumptions &amp; Inputs'!$D$66,AG28))*AM28)*AS28)+AX28)*VLOOKUP("IN-34",'Assumptions &amp; Inputs'!$A$31:$F$69,4,FALSE),0),0)</f>
        <v>48840.25</v>
      </c>
      <c r="BZ28" s="4">
        <f>IF(BP28=1,((AK28+(IF(R28="IN-07",'Assumptions &amp; Inputs'!$E$66,AH28))*AN28)*AS28)+AY28+(((AK28+(IF(R28="IN-07",'Assumptions &amp; Inputs'!$E$66,AH28))*AN28)*AS28)*AZ28)+IF(BD28="Yes",(((AK28+(IF(R28="IN-07",'Assumptions &amp; Inputs'!$E$66,AH28))*AN28)*AS28)+AY28)*VLOOKUP("IN-34",'Assumptions &amp; Inputs'!$A$31:$F$69,5,FALSE),0),0)</f>
        <v>130728</v>
      </c>
      <c r="CA28" s="4">
        <f>IF(BQ28=1,((AI28+(IF(R28="IN-07",'Assumptions &amp; Inputs'!$C$65,AF28))*AL28)*AS28)+AW28+(((AI28+(IF(R28="IN-07",'Assumptions &amp; Inputs'!$C$65,AF28))*AL28)*AS28)*AZ28)+IF(BD28="Yes",(((AI28+(IF(R28="IN-07",'Assumptions &amp; Inputs'!$C$65,AF28))*AL28)*AS28)+AW28)*VLOOKUP("IN-34",'Assumptions &amp; Inputs'!$A$31:$F$69,3,FALSE),0),0)</f>
        <v>19989.900000000001</v>
      </c>
      <c r="CB28" s="4">
        <f>IF(BQ28=1,((AJ28+(IF(R28="IN-07",'Assumptions &amp; Inputs'!$D$65,AG28))*AM28)*AS28)+AX28+(((AJ28+(IF(R28="IN-07",'Assumptions &amp; Inputs'!$D$65,AG28))*AM28)*AS28)*AZ28)+IF(BD28="Yes",(((AJ28+(IF(R28="IN-07",'Assumptions &amp; Inputs'!$D$65,AG28))*AM28)*AS28)+AX28)*VLOOKUP("IN-34",'Assumptions &amp; Inputs'!$A$31:$F$69,4,FALSE),0),0)</f>
        <v>48840.25</v>
      </c>
      <c r="CC28" s="4">
        <f>IF(BQ28=1,((AK28+(IF(R28="IN-07",'Assumptions &amp; Inputs'!$E$65,AH28))*AN28)*AS28)+AY28+(((AK28+(IF(R28="IN-07",'Assumptions &amp; Inputs'!$E$65,AH28))*AN28)*AS28)*AZ28)+IF(BD28="Yes",(((AK28+(IF(R28="IN-07",'Assumptions &amp; Inputs'!$E$65,AH28))*AN28)*AS28)+AY28)*VLOOKUP("IN-34",'Assumptions &amp; Inputs'!$A$31:$F$69,5,FALSE),0),0)</f>
        <v>130728</v>
      </c>
      <c r="CD28" s="4">
        <f>IF(BR28=1,((AI28+(IF(R28="IN-07",'Assumptions &amp; Inputs'!$C$65,AF28))*AL28)*AS28)+AW28+(((AI28+(IF(R28="IN-07",'Assumptions &amp; Inputs'!$C$65,AF28))*AL28)*AS28)*AZ28)+IF(BD28="Yes",(((AI28+(IF(R28="IN-07",'Assumptions &amp; Inputs'!$C$65,AF28))*AL28)*AS28)+AW28)*VLOOKUP("IN-34",'Assumptions &amp; Inputs'!$A$31:$F$69,3,FALSE),0),0)</f>
        <v>19989.900000000001</v>
      </c>
      <c r="CE28" s="4">
        <f>IF(BR28=1,((AJ28+(IF(R28="IN-07",'Assumptions &amp; Inputs'!$D$65,AG28))*AM28)*AS28)+AX28+(((AJ28+(IF(R28="IN-07",'Assumptions &amp; Inputs'!$D$65,AG28))*AM28)*AS28)*AZ28)+IF(BD28="Yes",(((AJ28+(IF(R28="IN-07",'Assumptions &amp; Inputs'!$D$65,AG28))*AM28)*AS28)+AX28)*VLOOKUP("IN-34",'Assumptions &amp; Inputs'!$A$31:$F$69,4,FALSE),0),0)</f>
        <v>48840.25</v>
      </c>
      <c r="CF28" s="4">
        <f>IF(BR28=1,((AK28+(IF(R28="IN-07",'Assumptions &amp; Inputs'!$E$65,AH28))*AN28)*AS28)+AY28+(((AK28+(IF(R28="IN-07",'Assumptions &amp; Inputs'!$E$65,AH28))*AN28)*AS28)*AZ28)+IF(BD28="Yes",(((AK28+(IF(R28="IN-07",'Assumptions &amp; Inputs'!$E$65,AH28))*AN28)*AS28)+AY28)*VLOOKUP("IN-34",'Assumptions &amp; Inputs'!$A$31:$F$69,5,FALSE),0),0)</f>
        <v>130728</v>
      </c>
      <c r="CG28" s="4">
        <f>IF(BS28=1,((AI28+(IF(R28="IN-07",0,AF28))*AL28)*AS28)+AW28+(((AI28+(IF(R28="IN-07",0,AF28))*AL28)*AS28)*AZ28)+IF(BD28="Yes",(((AI28+(IF(R28="IN-07",0,AF28))*AL28)*AS28)+AW28)*VLOOKUP("IN-34",'Assumptions &amp; Inputs'!$A$31:$F$69,3,FALSE),0),0)</f>
        <v>0</v>
      </c>
      <c r="CH28" s="4">
        <f>IF(BS28=1,((AJ28+(IF(R28="IN-07",0,AG28))*AM28)*AS28)+AX28+(((AJ28+(IF(R28="IN-07",0,AG28))*AM28)*AS28)*AZ28)+IF(BD28="Yes",(((AJ28+(IF(R28="IN-07",0,AG28))*AM28)*AS28)+AX28)*VLOOKUP("IN-34",'Assumptions &amp; Inputs'!$A$31:$F$69,4,FALSE),0),0)</f>
        <v>0</v>
      </c>
      <c r="CI28" s="4">
        <f>IF(BS28=1,((AK28+(IF(R28="IN-07",0,AH28))*AN28)*AS28)+AY28+(((AK28+(IF(R28="IN-07",0,AH28))*AN28)*AS28)*AZ28)+IF(BD28="Yes",(((AK28+(IF(R28="IN-07",0,AH28))*AN28)*AS28)+AY28)*VLOOKUP("IN-34",'Assumptions &amp; Inputs'!$A$31:$F$69,5,FALSE),0),0)</f>
        <v>0</v>
      </c>
      <c r="CJ28" s="4">
        <f>IF(BT28=1,((AI28+(IF(R28="IN-07",0,AF28))*AL28)*AS28)+AW28+(((AI28+(IF(R28="IN-07",0,AF28))*AL28)*AS28)*AZ28)+IF(BD28="Yes",(((AI28+(IF(R28="IN-07",0,AF28))*AL28)*AS28)+AW28)*VLOOKUP("IN-34",'Assumptions &amp; Inputs'!$A$31:$F$69,3,FALSE),0),0)</f>
        <v>0</v>
      </c>
      <c r="CK28" s="4">
        <f>IF(BT28=1,((AJ28+(IF(R28="IN-07",0,AG28))*AM28)*AS28)+AX28+(((AJ28+(IF(R28="IN-07",0,AG28))*AM28)*AS28)*AZ28)+IF(BD28="Yes",(((AJ28+(IF(R28="IN-07",0,AG28))*AM28)*AS28)+AX28)*VLOOKUP("IN-34",'Assumptions &amp; Inputs'!$A$31:$F$69,4,FALSE),0),0)</f>
        <v>0</v>
      </c>
      <c r="CL28" s="4">
        <f>IF(BT28=1,((AK28+(IF(R28="IN-07",0,AH28))*AN28)*AS28)+AY28+(((AK28+(IF(R28="IN-07",0,AH28))*AN28)*AS28)*AZ28)+IF(BD28="Yes",(((AK28+(IF(R28="IN-07",0,AH28))*AN28)*AS28)+AY28)*VLOOKUP("IN-34",'Assumptions &amp; Inputs'!$A$31:$F$69,5,FALSE),0),0)</f>
        <v>0</v>
      </c>
    </row>
    <row r="29" spans="1:90" ht="43.5" x14ac:dyDescent="0.35">
      <c r="A29" s="2" t="s">
        <v>869</v>
      </c>
      <c r="B29" s="2" t="s">
        <v>185</v>
      </c>
      <c r="C29" s="2" t="s">
        <v>48</v>
      </c>
      <c r="D29" s="2" t="s">
        <v>54</v>
      </c>
      <c r="E29" s="2" t="s">
        <v>870</v>
      </c>
      <c r="F29" s="2" t="s">
        <v>871</v>
      </c>
      <c r="G29" s="2" t="s">
        <v>872</v>
      </c>
      <c r="H29" s="2" t="s">
        <v>873</v>
      </c>
      <c r="I29" s="2" t="s">
        <v>810</v>
      </c>
      <c r="J29" s="2" t="s">
        <v>874</v>
      </c>
      <c r="K29" s="2" t="s">
        <v>875</v>
      </c>
      <c r="L29" s="2" t="s">
        <v>810</v>
      </c>
      <c r="M29" s="2" t="s">
        <v>532</v>
      </c>
      <c r="N29" s="2" t="s">
        <v>180</v>
      </c>
      <c r="O29" s="2" t="s">
        <v>813</v>
      </c>
      <c r="P29" s="2" t="s">
        <v>876</v>
      </c>
      <c r="Q29" s="2" t="s">
        <v>862</v>
      </c>
      <c r="R29" s="2" t="s">
        <v>306</v>
      </c>
      <c r="S29" s="2" t="s">
        <v>877</v>
      </c>
      <c r="T29" s="2" t="s">
        <v>878</v>
      </c>
      <c r="U29" s="2" t="s">
        <v>879</v>
      </c>
      <c r="V29" s="2" t="s">
        <v>815</v>
      </c>
      <c r="W29" s="2" t="s">
        <v>880</v>
      </c>
      <c r="X29" s="2" t="s">
        <v>647</v>
      </c>
      <c r="Y29" s="2" t="s">
        <v>881</v>
      </c>
      <c r="Z29" s="2" t="s">
        <v>852</v>
      </c>
      <c r="AA29" s="2" t="s">
        <v>853</v>
      </c>
      <c r="AB29" s="2" t="s">
        <v>36</v>
      </c>
      <c r="AC29" s="2" t="s">
        <v>882</v>
      </c>
      <c r="AD29" s="2" t="s">
        <v>722</v>
      </c>
      <c r="AE29" s="18">
        <f>IF(ISNUMBER(SEARCH('Scenario Definitions'!$C$5,N29)),1,0)</f>
        <v>1</v>
      </c>
      <c r="AF29" s="18">
        <f>IFERROR(VLOOKUP(R29,'Assumptions &amp; Inputs'!$A$31:$F$69,3,FALSE),0)</f>
        <v>3</v>
      </c>
      <c r="AG29" s="18">
        <f>IFERROR(VLOOKUP(R29,'Assumptions &amp; Inputs'!$A$31:$F$69,4,FALSE),0)</f>
        <v>5</v>
      </c>
      <c r="AH29" s="19">
        <f>IFERROR(VLOOKUP(R29,'Assumptions &amp; Inputs'!$A$31:$F$69,5,FALSE),0)</f>
        <v>8</v>
      </c>
      <c r="AI29" s="11">
        <v>60</v>
      </c>
      <c r="AJ29" s="11">
        <v>80</v>
      </c>
      <c r="AK29" s="11">
        <v>120</v>
      </c>
      <c r="AL29" s="11">
        <v>18</v>
      </c>
      <c r="AM29" s="11">
        <v>24</v>
      </c>
      <c r="AN29" s="11">
        <v>36</v>
      </c>
      <c r="AO29" s="37">
        <f t="shared" si="0"/>
        <v>114</v>
      </c>
      <c r="AP29" s="18">
        <f t="shared" si="1"/>
        <v>200</v>
      </c>
      <c r="AQ29" s="19">
        <f t="shared" si="2"/>
        <v>408</v>
      </c>
      <c r="AR29" s="58" t="s">
        <v>419</v>
      </c>
      <c r="AS29" s="33">
        <f>IFERROR(VLOOKUP(AR29,'Assumptions &amp; Inputs'!$A$73:$I$100,9,FALSE),0)</f>
        <v>120</v>
      </c>
      <c r="AT29" s="26">
        <f t="shared" si="3"/>
        <v>13680</v>
      </c>
      <c r="AU29" s="26">
        <f t="shared" si="4"/>
        <v>24000</v>
      </c>
      <c r="AV29" s="27">
        <f t="shared" si="5"/>
        <v>48960</v>
      </c>
      <c r="AW29" s="57">
        <v>5000</v>
      </c>
      <c r="AX29" s="57">
        <v>15000</v>
      </c>
      <c r="AY29" s="57">
        <v>40000</v>
      </c>
      <c r="AZ29" s="33">
        <f>IFERROR(VLOOKUP(C29,'Assumptions &amp; Inputs'!$A$104:$B$107,2,FALSE),0)</f>
        <v>0.35</v>
      </c>
      <c r="BA29" s="26">
        <f t="shared" si="6"/>
        <v>4788</v>
      </c>
      <c r="BB29" s="26">
        <f t="shared" si="7"/>
        <v>8400</v>
      </c>
      <c r="BC29" s="27">
        <f t="shared" si="8"/>
        <v>17136</v>
      </c>
      <c r="BD29" s="57" t="s">
        <v>209</v>
      </c>
      <c r="BE29" s="33">
        <f>IF(BD29="Yes",(AT29+AW29)*VLOOKUP("IN-34",'Assumptions &amp; Inputs'!$A$31:$F$69,3,FALSE),0)</f>
        <v>934</v>
      </c>
      <c r="BF29" s="26">
        <f>IF(BD29="Yes",(AU29+AX29)*VLOOKUP("IN-34",'Assumptions &amp; Inputs'!$A$31:$F$69,4,FALSE),0)</f>
        <v>2925</v>
      </c>
      <c r="BG29" s="26">
        <f>IF(BD29="Yes",(AV29+AY29)*VLOOKUP("IN-34",'Assumptions &amp; Inputs'!$A$31:$F$69,5,FALSE),0)</f>
        <v>13344</v>
      </c>
      <c r="BH29" s="26">
        <f t="shared" si="9"/>
        <v>24402</v>
      </c>
      <c r="BI29" s="26">
        <f t="shared" si="10"/>
        <v>50325</v>
      </c>
      <c r="BJ29" s="27">
        <f t="shared" si="11"/>
        <v>119440</v>
      </c>
      <c r="BK29" s="58" t="s">
        <v>548</v>
      </c>
      <c r="BL29" s="58" t="s">
        <v>549</v>
      </c>
      <c r="BM29" s="58" t="s">
        <v>853</v>
      </c>
      <c r="BN29" s="58" t="s">
        <v>550</v>
      </c>
      <c r="BO29" s="5">
        <f t="shared" si="12"/>
        <v>1</v>
      </c>
      <c r="BP29" s="5">
        <f t="shared" si="13"/>
        <v>1</v>
      </c>
      <c r="BQ29" s="5">
        <f t="shared" si="14"/>
        <v>1</v>
      </c>
      <c r="BR29" s="5">
        <f t="shared" si="15"/>
        <v>1</v>
      </c>
      <c r="BS29" s="5">
        <f t="shared" si="16"/>
        <v>0</v>
      </c>
      <c r="BT29" s="5">
        <f t="shared" si="17"/>
        <v>0</v>
      </c>
      <c r="BU29" s="4">
        <f>IF(BO29=1,((AI29+(IF(R29="IN-07",'Assumptions &amp; Inputs'!$C$66,AF29))*AL29)*AS29)+AW29+(((AI29+(IF(R29="IN-07",'Assumptions &amp; Inputs'!$C$66,AF29))*AL29)*AS29)*AZ29)+IF(BD29="Yes",(((AI29+(IF(R29="IN-07",'Assumptions &amp; Inputs'!$C$66,AF29))*AL29)*AS29)+AW29)*VLOOKUP("IN-34",'Assumptions &amp; Inputs'!$A$31:$F$69,3,FALSE),0),0)</f>
        <v>24402</v>
      </c>
      <c r="BV29" s="4">
        <f>IF(BO29=1,((AJ29+(IF(R29="IN-07",'Assumptions &amp; Inputs'!$D$66,AG29))*AM29)*AS29)+AX29+(((AJ29+(IF(R29="IN-07",'Assumptions &amp; Inputs'!$D$66,AG29))*AM29)*AS29)*AZ29)+IF(BD29="Yes",(((AJ29+(IF(R29="IN-07",'Assumptions &amp; Inputs'!$D$66,AG29))*AM29)*AS29)+AX29)*VLOOKUP("IN-34",'Assumptions &amp; Inputs'!$A$31:$F$69,4,FALSE),0),0)</f>
        <v>50325</v>
      </c>
      <c r="BW29" s="4">
        <f>IF(BO29=1,((AK29+(IF(R29="IN-07",'Assumptions &amp; Inputs'!$E$66,AH29))*AN29)*AS29)+AY29+(((AK29+(IF(R29="IN-07",'Assumptions &amp; Inputs'!$E$66,AH29))*AN29)*AS29)*AZ29)+IF(BD29="Yes",(((AK29+(IF(R29="IN-07",'Assumptions &amp; Inputs'!$E$66,AH29))*AN29)*AS29)+AY29)*VLOOKUP("IN-34",'Assumptions &amp; Inputs'!$A$31:$F$69,5,FALSE),0),0)</f>
        <v>119440</v>
      </c>
      <c r="BX29" s="4">
        <f>IF(BP29=1,((AI29+(IF(R29="IN-07",'Assumptions &amp; Inputs'!$C$66,AF29))*AL29)*AS29)+AW29+(((AI29+(IF(R29="IN-07",'Assumptions &amp; Inputs'!$C$66,AF29))*AL29)*AS29)*AZ29)+IF(BD29="Yes",(((AI29+(IF(R29="IN-07",'Assumptions &amp; Inputs'!$C$66,AF29))*AL29)*AS29)+AW29)*VLOOKUP("IN-34",'Assumptions &amp; Inputs'!$A$31:$F$69,3,FALSE),0),0)</f>
        <v>24402</v>
      </c>
      <c r="BY29" s="4">
        <f>IF(BP29=1,((AJ29+(IF(R29="IN-07",'Assumptions &amp; Inputs'!$D$66,AG29))*AM29)*AS29)+AX29+(((AJ29+(IF(R29="IN-07",'Assumptions &amp; Inputs'!$D$66,AG29))*AM29)*AS29)*AZ29)+IF(BD29="Yes",(((AJ29+(IF(R29="IN-07",'Assumptions &amp; Inputs'!$D$66,AG29))*AM29)*AS29)+AX29)*VLOOKUP("IN-34",'Assumptions &amp; Inputs'!$A$31:$F$69,4,FALSE),0),0)</f>
        <v>50325</v>
      </c>
      <c r="BZ29" s="4">
        <f>IF(BP29=1,((AK29+(IF(R29="IN-07",'Assumptions &amp; Inputs'!$E$66,AH29))*AN29)*AS29)+AY29+(((AK29+(IF(R29="IN-07",'Assumptions &amp; Inputs'!$E$66,AH29))*AN29)*AS29)*AZ29)+IF(BD29="Yes",(((AK29+(IF(R29="IN-07",'Assumptions &amp; Inputs'!$E$66,AH29))*AN29)*AS29)+AY29)*VLOOKUP("IN-34",'Assumptions &amp; Inputs'!$A$31:$F$69,5,FALSE),0),0)</f>
        <v>119440</v>
      </c>
      <c r="CA29" s="4">
        <f>IF(BQ29=1,((AI29+(IF(R29="IN-07",'Assumptions &amp; Inputs'!$C$65,AF29))*AL29)*AS29)+AW29+(((AI29+(IF(R29="IN-07",'Assumptions &amp; Inputs'!$C$65,AF29))*AL29)*AS29)*AZ29)+IF(BD29="Yes",(((AI29+(IF(R29="IN-07",'Assumptions &amp; Inputs'!$C$65,AF29))*AL29)*AS29)+AW29)*VLOOKUP("IN-34",'Assumptions &amp; Inputs'!$A$31:$F$69,3,FALSE),0),0)</f>
        <v>24402</v>
      </c>
      <c r="CB29" s="4">
        <f>IF(BQ29=1,((AJ29+(IF(R29="IN-07",'Assumptions &amp; Inputs'!$D$65,AG29))*AM29)*AS29)+AX29+(((AJ29+(IF(R29="IN-07",'Assumptions &amp; Inputs'!$D$65,AG29))*AM29)*AS29)*AZ29)+IF(BD29="Yes",(((AJ29+(IF(R29="IN-07",'Assumptions &amp; Inputs'!$D$65,AG29))*AM29)*AS29)+AX29)*VLOOKUP("IN-34",'Assumptions &amp; Inputs'!$A$31:$F$69,4,FALSE),0),0)</f>
        <v>50325</v>
      </c>
      <c r="CC29" s="4">
        <f>IF(BQ29=1,((AK29+(IF(R29="IN-07",'Assumptions &amp; Inputs'!$E$65,AH29))*AN29)*AS29)+AY29+(((AK29+(IF(R29="IN-07",'Assumptions &amp; Inputs'!$E$65,AH29))*AN29)*AS29)*AZ29)+IF(BD29="Yes",(((AK29+(IF(R29="IN-07",'Assumptions &amp; Inputs'!$E$65,AH29))*AN29)*AS29)+AY29)*VLOOKUP("IN-34",'Assumptions &amp; Inputs'!$A$31:$F$69,5,FALSE),0),0)</f>
        <v>119440</v>
      </c>
      <c r="CD29" s="4">
        <f>IF(BR29=1,((AI29+(IF(R29="IN-07",'Assumptions &amp; Inputs'!$C$65,AF29))*AL29)*AS29)+AW29+(((AI29+(IF(R29="IN-07",'Assumptions &amp; Inputs'!$C$65,AF29))*AL29)*AS29)*AZ29)+IF(BD29="Yes",(((AI29+(IF(R29="IN-07",'Assumptions &amp; Inputs'!$C$65,AF29))*AL29)*AS29)+AW29)*VLOOKUP("IN-34",'Assumptions &amp; Inputs'!$A$31:$F$69,3,FALSE),0),0)</f>
        <v>24402</v>
      </c>
      <c r="CE29" s="4">
        <f>IF(BR29=1,((AJ29+(IF(R29="IN-07",'Assumptions &amp; Inputs'!$D$65,AG29))*AM29)*AS29)+AX29+(((AJ29+(IF(R29="IN-07",'Assumptions &amp; Inputs'!$D$65,AG29))*AM29)*AS29)*AZ29)+IF(BD29="Yes",(((AJ29+(IF(R29="IN-07",'Assumptions &amp; Inputs'!$D$65,AG29))*AM29)*AS29)+AX29)*VLOOKUP("IN-34",'Assumptions &amp; Inputs'!$A$31:$F$69,4,FALSE),0),0)</f>
        <v>50325</v>
      </c>
      <c r="CF29" s="4">
        <f>IF(BR29=1,((AK29+(IF(R29="IN-07",'Assumptions &amp; Inputs'!$E$65,AH29))*AN29)*AS29)+AY29+(((AK29+(IF(R29="IN-07",'Assumptions &amp; Inputs'!$E$65,AH29))*AN29)*AS29)*AZ29)+IF(BD29="Yes",(((AK29+(IF(R29="IN-07",'Assumptions &amp; Inputs'!$E$65,AH29))*AN29)*AS29)+AY29)*VLOOKUP("IN-34",'Assumptions &amp; Inputs'!$A$31:$F$69,5,FALSE),0),0)</f>
        <v>119440</v>
      </c>
      <c r="CG29" s="4">
        <f>IF(BS29=1,((AI29+(IF(R29="IN-07",0,AF29))*AL29)*AS29)+AW29+(((AI29+(IF(R29="IN-07",0,AF29))*AL29)*AS29)*AZ29)+IF(BD29="Yes",(((AI29+(IF(R29="IN-07",0,AF29))*AL29)*AS29)+AW29)*VLOOKUP("IN-34",'Assumptions &amp; Inputs'!$A$31:$F$69,3,FALSE),0),0)</f>
        <v>0</v>
      </c>
      <c r="CH29" s="4">
        <f>IF(BS29=1,((AJ29+(IF(R29="IN-07",0,AG29))*AM29)*AS29)+AX29+(((AJ29+(IF(R29="IN-07",0,AG29))*AM29)*AS29)*AZ29)+IF(BD29="Yes",(((AJ29+(IF(R29="IN-07",0,AG29))*AM29)*AS29)+AX29)*VLOOKUP("IN-34",'Assumptions &amp; Inputs'!$A$31:$F$69,4,FALSE),0),0)</f>
        <v>0</v>
      </c>
      <c r="CI29" s="4">
        <f>IF(BS29=1,((AK29+(IF(R29="IN-07",0,AH29))*AN29)*AS29)+AY29+(((AK29+(IF(R29="IN-07",0,AH29))*AN29)*AS29)*AZ29)+IF(BD29="Yes",(((AK29+(IF(R29="IN-07",0,AH29))*AN29)*AS29)+AY29)*VLOOKUP("IN-34",'Assumptions &amp; Inputs'!$A$31:$F$69,5,FALSE),0),0)</f>
        <v>0</v>
      </c>
      <c r="CJ29" s="4">
        <f>IF(BT29=1,((AI29+(IF(R29="IN-07",0,AF29))*AL29)*AS29)+AW29+(((AI29+(IF(R29="IN-07",0,AF29))*AL29)*AS29)*AZ29)+IF(BD29="Yes",(((AI29+(IF(R29="IN-07",0,AF29))*AL29)*AS29)+AW29)*VLOOKUP("IN-34",'Assumptions &amp; Inputs'!$A$31:$F$69,3,FALSE),0),0)</f>
        <v>0</v>
      </c>
      <c r="CK29" s="4">
        <f>IF(BT29=1,((AJ29+(IF(R29="IN-07",0,AG29))*AM29)*AS29)+AX29+(((AJ29+(IF(R29="IN-07",0,AG29))*AM29)*AS29)*AZ29)+IF(BD29="Yes",(((AJ29+(IF(R29="IN-07",0,AG29))*AM29)*AS29)+AX29)*VLOOKUP("IN-34",'Assumptions &amp; Inputs'!$A$31:$F$69,4,FALSE),0),0)</f>
        <v>0</v>
      </c>
      <c r="CL29" s="4">
        <f>IF(BT29=1,((AK29+(IF(R29="IN-07",0,AH29))*AN29)*AS29)+AY29+(((AK29+(IF(R29="IN-07",0,AH29))*AN29)*AS29)*AZ29)+IF(BD29="Yes",(((AK29+(IF(R29="IN-07",0,AH29))*AN29)*AS29)+AY29)*VLOOKUP("IN-34",'Assumptions &amp; Inputs'!$A$31:$F$69,5,FALSE),0),0)</f>
        <v>0</v>
      </c>
    </row>
    <row r="30" spans="1:90" ht="43.5" x14ac:dyDescent="0.35">
      <c r="A30" s="2" t="s">
        <v>883</v>
      </c>
      <c r="B30" s="2" t="s">
        <v>186</v>
      </c>
      <c r="C30" s="2" t="s">
        <v>48</v>
      </c>
      <c r="D30" s="2" t="s">
        <v>55</v>
      </c>
      <c r="E30" s="2" t="s">
        <v>884</v>
      </c>
      <c r="F30" s="2" t="s">
        <v>885</v>
      </c>
      <c r="G30" s="2" t="s">
        <v>886</v>
      </c>
      <c r="H30" s="2" t="s">
        <v>887</v>
      </c>
      <c r="I30" s="2" t="s">
        <v>810</v>
      </c>
      <c r="J30" s="2" t="s">
        <v>888</v>
      </c>
      <c r="K30" s="2" t="s">
        <v>834</v>
      </c>
      <c r="L30" s="2" t="s">
        <v>810</v>
      </c>
      <c r="M30" s="2" t="s">
        <v>532</v>
      </c>
      <c r="N30" s="2" t="s">
        <v>180</v>
      </c>
      <c r="O30" s="2" t="s">
        <v>813</v>
      </c>
      <c r="P30" s="2" t="s">
        <v>876</v>
      </c>
      <c r="Q30" s="2" t="s">
        <v>315</v>
      </c>
      <c r="R30" s="2" t="s">
        <v>310</v>
      </c>
      <c r="S30" s="2" t="s">
        <v>877</v>
      </c>
      <c r="T30" s="2" t="s">
        <v>889</v>
      </c>
      <c r="U30" s="2" t="s">
        <v>890</v>
      </c>
      <c r="V30" s="2" t="s">
        <v>815</v>
      </c>
      <c r="W30" s="2" t="s">
        <v>891</v>
      </c>
      <c r="X30" s="2" t="s">
        <v>690</v>
      </c>
      <c r="Y30" s="2" t="s">
        <v>171</v>
      </c>
      <c r="Z30" s="2" t="s">
        <v>543</v>
      </c>
      <c r="AA30" s="2" t="s">
        <v>692</v>
      </c>
      <c r="AB30" s="2" t="s">
        <v>545</v>
      </c>
      <c r="AC30" s="2" t="s">
        <v>892</v>
      </c>
      <c r="AD30" s="2" t="s">
        <v>694</v>
      </c>
      <c r="AE30" s="18">
        <f>IF(ISNUMBER(SEARCH('Scenario Definitions'!$C$5,N30)),1,0)</f>
        <v>1</v>
      </c>
      <c r="AF30" s="18">
        <f>IFERROR(VLOOKUP(R30,'Assumptions &amp; Inputs'!$A$31:$F$69,3,FALSE),0)</f>
        <v>3</v>
      </c>
      <c r="AG30" s="18">
        <f>IFERROR(VLOOKUP(R30,'Assumptions &amp; Inputs'!$A$31:$F$69,4,FALSE),0)</f>
        <v>3</v>
      </c>
      <c r="AH30" s="19">
        <f>IFERROR(VLOOKUP(R30,'Assumptions &amp; Inputs'!$A$31:$F$69,5,FALSE),0)</f>
        <v>5</v>
      </c>
      <c r="AI30" s="11">
        <v>75</v>
      </c>
      <c r="AJ30" s="11">
        <v>100</v>
      </c>
      <c r="AK30" s="11">
        <v>150</v>
      </c>
      <c r="AL30" s="11">
        <v>15</v>
      </c>
      <c r="AM30" s="11">
        <v>20</v>
      </c>
      <c r="AN30" s="11">
        <v>30</v>
      </c>
      <c r="AO30" s="37">
        <f t="shared" si="0"/>
        <v>120</v>
      </c>
      <c r="AP30" s="18">
        <f t="shared" si="1"/>
        <v>160</v>
      </c>
      <c r="AQ30" s="19">
        <f t="shared" si="2"/>
        <v>300</v>
      </c>
      <c r="AR30" s="58" t="s">
        <v>418</v>
      </c>
      <c r="AS30" s="33">
        <f>IFERROR(VLOOKUP(AR30,'Assumptions &amp; Inputs'!$A$73:$I$100,9,FALSE),0)</f>
        <v>165</v>
      </c>
      <c r="AT30" s="26">
        <f t="shared" si="3"/>
        <v>19800</v>
      </c>
      <c r="AU30" s="26">
        <f t="shared" si="4"/>
        <v>26400</v>
      </c>
      <c r="AV30" s="27">
        <f t="shared" si="5"/>
        <v>49500</v>
      </c>
      <c r="AW30" s="57">
        <v>0</v>
      </c>
      <c r="AX30" s="57">
        <v>0</v>
      </c>
      <c r="AY30" s="57">
        <v>0</v>
      </c>
      <c r="AZ30" s="33">
        <f>IFERROR(VLOOKUP(C30,'Assumptions &amp; Inputs'!$A$104:$B$107,2,FALSE),0)</f>
        <v>0.35</v>
      </c>
      <c r="BA30" s="26">
        <f t="shared" si="6"/>
        <v>6930</v>
      </c>
      <c r="BB30" s="26">
        <f t="shared" si="7"/>
        <v>9240</v>
      </c>
      <c r="BC30" s="27">
        <f t="shared" si="8"/>
        <v>17325</v>
      </c>
      <c r="BD30" s="57" t="s">
        <v>209</v>
      </c>
      <c r="BE30" s="33">
        <f>IF(BD30="Yes",(AT30+AW30)*VLOOKUP("IN-34",'Assumptions &amp; Inputs'!$A$31:$F$69,3,FALSE),0)</f>
        <v>990</v>
      </c>
      <c r="BF30" s="26">
        <f>IF(BD30="Yes",(AU30+AX30)*VLOOKUP("IN-34",'Assumptions &amp; Inputs'!$A$31:$F$69,4,FALSE),0)</f>
        <v>1980</v>
      </c>
      <c r="BG30" s="26">
        <f>IF(BD30="Yes",(AV30+AY30)*VLOOKUP("IN-34",'Assumptions &amp; Inputs'!$A$31:$F$69,5,FALSE),0)</f>
        <v>7425</v>
      </c>
      <c r="BH30" s="26">
        <f t="shared" si="9"/>
        <v>27720</v>
      </c>
      <c r="BI30" s="26">
        <f t="shared" si="10"/>
        <v>37620</v>
      </c>
      <c r="BJ30" s="27">
        <f t="shared" si="11"/>
        <v>74250</v>
      </c>
      <c r="BK30" s="58" t="s">
        <v>548</v>
      </c>
      <c r="BL30" s="58" t="s">
        <v>549</v>
      </c>
      <c r="BM30" s="58" t="s">
        <v>692</v>
      </c>
      <c r="BN30" s="58" t="s">
        <v>550</v>
      </c>
      <c r="BO30" s="5">
        <f t="shared" si="12"/>
        <v>1</v>
      </c>
      <c r="BP30" s="5">
        <f t="shared" si="13"/>
        <v>1</v>
      </c>
      <c r="BQ30" s="5">
        <f t="shared" si="14"/>
        <v>1</v>
      </c>
      <c r="BR30" s="5">
        <f t="shared" si="15"/>
        <v>1</v>
      </c>
      <c r="BS30" s="5">
        <f t="shared" si="16"/>
        <v>0</v>
      </c>
      <c r="BT30" s="5">
        <f t="shared" si="17"/>
        <v>0</v>
      </c>
      <c r="BU30" s="4">
        <f>IF(BO30=1,((AI30+(IF(R30="IN-07",'Assumptions &amp; Inputs'!$C$66,AF30))*AL30)*AS30)+AW30+(((AI30+(IF(R30="IN-07",'Assumptions &amp; Inputs'!$C$66,AF30))*AL30)*AS30)*AZ30)+IF(BD30="Yes",(((AI30+(IF(R30="IN-07",'Assumptions &amp; Inputs'!$C$66,AF30))*AL30)*AS30)+AW30)*VLOOKUP("IN-34",'Assumptions &amp; Inputs'!$A$31:$F$69,3,FALSE),0),0)</f>
        <v>27720</v>
      </c>
      <c r="BV30" s="4">
        <f>IF(BO30=1,((AJ30+(IF(R30="IN-07",'Assumptions &amp; Inputs'!$D$66,AG30))*AM30)*AS30)+AX30+(((AJ30+(IF(R30="IN-07",'Assumptions &amp; Inputs'!$D$66,AG30))*AM30)*AS30)*AZ30)+IF(BD30="Yes",(((AJ30+(IF(R30="IN-07",'Assumptions &amp; Inputs'!$D$66,AG30))*AM30)*AS30)+AX30)*VLOOKUP("IN-34",'Assumptions &amp; Inputs'!$A$31:$F$69,4,FALSE),0),0)</f>
        <v>47025</v>
      </c>
      <c r="BW30" s="4">
        <f>IF(BO30=1,((AK30+(IF(R30="IN-07",'Assumptions &amp; Inputs'!$E$66,AH30))*AN30)*AS30)+AY30+(((AK30+(IF(R30="IN-07",'Assumptions &amp; Inputs'!$E$66,AH30))*AN30)*AS30)*AZ30)+IF(BD30="Yes",(((AK30+(IF(R30="IN-07",'Assumptions &amp; Inputs'!$E$66,AH30))*AN30)*AS30)+AY30)*VLOOKUP("IN-34",'Assumptions &amp; Inputs'!$A$31:$F$69,5,FALSE),0),0)</f>
        <v>96525</v>
      </c>
      <c r="BX30" s="4">
        <f>IF(BP30=1,((AI30+(IF(R30="IN-07",'Assumptions &amp; Inputs'!$C$66,AF30))*AL30)*AS30)+AW30+(((AI30+(IF(R30="IN-07",'Assumptions &amp; Inputs'!$C$66,AF30))*AL30)*AS30)*AZ30)+IF(BD30="Yes",(((AI30+(IF(R30="IN-07",'Assumptions &amp; Inputs'!$C$66,AF30))*AL30)*AS30)+AW30)*VLOOKUP("IN-34",'Assumptions &amp; Inputs'!$A$31:$F$69,3,FALSE),0),0)</f>
        <v>27720</v>
      </c>
      <c r="BY30" s="4">
        <f>IF(BP30=1,((AJ30+(IF(R30="IN-07",'Assumptions &amp; Inputs'!$D$66,AG30))*AM30)*AS30)+AX30+(((AJ30+(IF(R30="IN-07",'Assumptions &amp; Inputs'!$D$66,AG30))*AM30)*AS30)*AZ30)+IF(BD30="Yes",(((AJ30+(IF(R30="IN-07",'Assumptions &amp; Inputs'!$D$66,AG30))*AM30)*AS30)+AX30)*VLOOKUP("IN-34",'Assumptions &amp; Inputs'!$A$31:$F$69,4,FALSE),0),0)</f>
        <v>47025</v>
      </c>
      <c r="BZ30" s="4">
        <f>IF(BP30=1,((AK30+(IF(R30="IN-07",'Assumptions &amp; Inputs'!$E$66,AH30))*AN30)*AS30)+AY30+(((AK30+(IF(R30="IN-07",'Assumptions &amp; Inputs'!$E$66,AH30))*AN30)*AS30)*AZ30)+IF(BD30="Yes",(((AK30+(IF(R30="IN-07",'Assumptions &amp; Inputs'!$E$66,AH30))*AN30)*AS30)+AY30)*VLOOKUP("IN-34",'Assumptions &amp; Inputs'!$A$31:$F$69,5,FALSE),0),0)</f>
        <v>96525</v>
      </c>
      <c r="CA30" s="4">
        <f>IF(BQ30=1,((AI30+(IF(R30="IN-07",'Assumptions &amp; Inputs'!$C$65,AF30))*AL30)*AS30)+AW30+(((AI30+(IF(R30="IN-07",'Assumptions &amp; Inputs'!$C$65,AF30))*AL30)*AS30)*AZ30)+IF(BD30="Yes",(((AI30+(IF(R30="IN-07",'Assumptions &amp; Inputs'!$C$65,AF30))*AL30)*AS30)+AW30)*VLOOKUP("IN-34",'Assumptions &amp; Inputs'!$A$31:$F$69,3,FALSE),0),0)</f>
        <v>27720</v>
      </c>
      <c r="CB30" s="4">
        <f>IF(BQ30=1,((AJ30+(IF(R30="IN-07",'Assumptions &amp; Inputs'!$D$65,AG30))*AM30)*AS30)+AX30+(((AJ30+(IF(R30="IN-07",'Assumptions &amp; Inputs'!$D$65,AG30))*AM30)*AS30)*AZ30)+IF(BD30="Yes",(((AJ30+(IF(R30="IN-07",'Assumptions &amp; Inputs'!$D$65,AG30))*AM30)*AS30)+AX30)*VLOOKUP("IN-34",'Assumptions &amp; Inputs'!$A$31:$F$69,4,FALSE),0),0)</f>
        <v>37620</v>
      </c>
      <c r="CC30" s="4">
        <f>IF(BQ30=1,((AK30+(IF(R30="IN-07",'Assumptions &amp; Inputs'!$E$65,AH30))*AN30)*AS30)+AY30+(((AK30+(IF(R30="IN-07",'Assumptions &amp; Inputs'!$E$65,AH30))*AN30)*AS30)*AZ30)+IF(BD30="Yes",(((AK30+(IF(R30="IN-07",'Assumptions &amp; Inputs'!$E$65,AH30))*AN30)*AS30)+AY30)*VLOOKUP("IN-34",'Assumptions &amp; Inputs'!$A$31:$F$69,5,FALSE),0),0)</f>
        <v>74250</v>
      </c>
      <c r="CD30" s="4">
        <f>IF(BR30=1,((AI30+(IF(R30="IN-07",'Assumptions &amp; Inputs'!$C$65,AF30))*AL30)*AS30)+AW30+(((AI30+(IF(R30="IN-07",'Assumptions &amp; Inputs'!$C$65,AF30))*AL30)*AS30)*AZ30)+IF(BD30="Yes",(((AI30+(IF(R30="IN-07",'Assumptions &amp; Inputs'!$C$65,AF30))*AL30)*AS30)+AW30)*VLOOKUP("IN-34",'Assumptions &amp; Inputs'!$A$31:$F$69,3,FALSE),0),0)</f>
        <v>27720</v>
      </c>
      <c r="CE30" s="4">
        <f>IF(BR30=1,((AJ30+(IF(R30="IN-07",'Assumptions &amp; Inputs'!$D$65,AG30))*AM30)*AS30)+AX30+(((AJ30+(IF(R30="IN-07",'Assumptions &amp; Inputs'!$D$65,AG30))*AM30)*AS30)*AZ30)+IF(BD30="Yes",(((AJ30+(IF(R30="IN-07",'Assumptions &amp; Inputs'!$D$65,AG30))*AM30)*AS30)+AX30)*VLOOKUP("IN-34",'Assumptions &amp; Inputs'!$A$31:$F$69,4,FALSE),0),0)</f>
        <v>37620</v>
      </c>
      <c r="CF30" s="4">
        <f>IF(BR30=1,((AK30+(IF(R30="IN-07",'Assumptions &amp; Inputs'!$E$65,AH30))*AN30)*AS30)+AY30+(((AK30+(IF(R30="IN-07",'Assumptions &amp; Inputs'!$E$65,AH30))*AN30)*AS30)*AZ30)+IF(BD30="Yes",(((AK30+(IF(R30="IN-07",'Assumptions &amp; Inputs'!$E$65,AH30))*AN30)*AS30)+AY30)*VLOOKUP("IN-34",'Assumptions &amp; Inputs'!$A$31:$F$69,5,FALSE),0),0)</f>
        <v>74250</v>
      </c>
      <c r="CG30" s="4">
        <f>IF(BS30=1,((AI30+(IF(R30="IN-07",0,AF30))*AL30)*AS30)+AW30+(((AI30+(IF(R30="IN-07",0,AF30))*AL30)*AS30)*AZ30)+IF(BD30="Yes",(((AI30+(IF(R30="IN-07",0,AF30))*AL30)*AS30)+AW30)*VLOOKUP("IN-34",'Assumptions &amp; Inputs'!$A$31:$F$69,3,FALSE),0),0)</f>
        <v>0</v>
      </c>
      <c r="CH30" s="4">
        <f>IF(BS30=1,((AJ30+(IF(R30="IN-07",0,AG30))*AM30)*AS30)+AX30+(((AJ30+(IF(R30="IN-07",0,AG30))*AM30)*AS30)*AZ30)+IF(BD30="Yes",(((AJ30+(IF(R30="IN-07",0,AG30))*AM30)*AS30)+AX30)*VLOOKUP("IN-34",'Assumptions &amp; Inputs'!$A$31:$F$69,4,FALSE),0),0)</f>
        <v>0</v>
      </c>
      <c r="CI30" s="4">
        <f>IF(BS30=1,((AK30+(IF(R30="IN-07",0,AH30))*AN30)*AS30)+AY30+(((AK30+(IF(R30="IN-07",0,AH30))*AN30)*AS30)*AZ30)+IF(BD30="Yes",(((AK30+(IF(R30="IN-07",0,AH30))*AN30)*AS30)+AY30)*VLOOKUP("IN-34",'Assumptions &amp; Inputs'!$A$31:$F$69,5,FALSE),0),0)</f>
        <v>0</v>
      </c>
      <c r="CJ30" s="4">
        <f>IF(BT30=1,((AI30+(IF(R30="IN-07",0,AF30))*AL30)*AS30)+AW30+(((AI30+(IF(R30="IN-07",0,AF30))*AL30)*AS30)*AZ30)+IF(BD30="Yes",(((AI30+(IF(R30="IN-07",0,AF30))*AL30)*AS30)+AW30)*VLOOKUP("IN-34",'Assumptions &amp; Inputs'!$A$31:$F$69,3,FALSE),0),0)</f>
        <v>0</v>
      </c>
      <c r="CK30" s="4">
        <f>IF(BT30=1,((AJ30+(IF(R30="IN-07",0,AG30))*AM30)*AS30)+AX30+(((AJ30+(IF(R30="IN-07",0,AG30))*AM30)*AS30)*AZ30)+IF(BD30="Yes",(((AJ30+(IF(R30="IN-07",0,AG30))*AM30)*AS30)+AX30)*VLOOKUP("IN-34",'Assumptions &amp; Inputs'!$A$31:$F$69,4,FALSE),0),0)</f>
        <v>0</v>
      </c>
      <c r="CL30" s="4">
        <f>IF(BT30=1,((AK30+(IF(R30="IN-07",0,AH30))*AN30)*AS30)+AY30+(((AK30+(IF(R30="IN-07",0,AH30))*AN30)*AS30)*AZ30)+IF(BD30="Yes",(((AK30+(IF(R30="IN-07",0,AH30))*AN30)*AS30)+AY30)*VLOOKUP("IN-34",'Assumptions &amp; Inputs'!$A$31:$F$69,5,FALSE),0),0)</f>
        <v>0</v>
      </c>
    </row>
    <row r="31" spans="1:90" ht="43.5" x14ac:dyDescent="0.35">
      <c r="A31" s="2" t="s">
        <v>893</v>
      </c>
      <c r="B31" s="2" t="s">
        <v>187</v>
      </c>
      <c r="C31" s="2" t="s">
        <v>48</v>
      </c>
      <c r="D31" s="2" t="s">
        <v>55</v>
      </c>
      <c r="E31" s="2" t="s">
        <v>894</v>
      </c>
      <c r="F31" s="2" t="s">
        <v>895</v>
      </c>
      <c r="G31" s="2" t="s">
        <v>896</v>
      </c>
      <c r="H31" s="2" t="s">
        <v>897</v>
      </c>
      <c r="I31" s="2" t="s">
        <v>810</v>
      </c>
      <c r="J31" s="2" t="s">
        <v>898</v>
      </c>
      <c r="K31" s="2" t="s">
        <v>899</v>
      </c>
      <c r="L31" s="2" t="s">
        <v>810</v>
      </c>
      <c r="M31" s="2" t="s">
        <v>532</v>
      </c>
      <c r="N31" s="2" t="s">
        <v>180</v>
      </c>
      <c r="O31" s="2" t="s">
        <v>813</v>
      </c>
      <c r="P31" s="2" t="s">
        <v>593</v>
      </c>
      <c r="Q31" s="2" t="s">
        <v>900</v>
      </c>
      <c r="R31" s="2" t="s">
        <v>310</v>
      </c>
      <c r="S31" s="2" t="s">
        <v>686</v>
      </c>
      <c r="T31" s="2" t="s">
        <v>901</v>
      </c>
      <c r="U31" s="2" t="s">
        <v>902</v>
      </c>
      <c r="V31" s="2" t="s">
        <v>815</v>
      </c>
      <c r="W31" s="2" t="s">
        <v>850</v>
      </c>
      <c r="X31" s="2" t="s">
        <v>903</v>
      </c>
      <c r="Y31" s="2" t="s">
        <v>904</v>
      </c>
      <c r="Z31" s="2" t="s">
        <v>601</v>
      </c>
      <c r="AA31" s="2" t="s">
        <v>692</v>
      </c>
      <c r="AB31" s="2" t="s">
        <v>36</v>
      </c>
      <c r="AC31" s="2" t="s">
        <v>905</v>
      </c>
      <c r="AD31" s="2" t="s">
        <v>906</v>
      </c>
      <c r="AE31" s="18">
        <f>IF(ISNUMBER(SEARCH('Scenario Definitions'!$C$5,N31)),1,0)</f>
        <v>1</v>
      </c>
      <c r="AF31" s="18">
        <f>IFERROR(VLOOKUP(R31,'Assumptions &amp; Inputs'!$A$31:$F$69,3,FALSE),0)</f>
        <v>3</v>
      </c>
      <c r="AG31" s="18">
        <f>IFERROR(VLOOKUP(R31,'Assumptions &amp; Inputs'!$A$31:$F$69,4,FALSE),0)</f>
        <v>3</v>
      </c>
      <c r="AH31" s="19">
        <f>IFERROR(VLOOKUP(R31,'Assumptions &amp; Inputs'!$A$31:$F$69,5,FALSE),0)</f>
        <v>5</v>
      </c>
      <c r="AI31" s="11">
        <v>0</v>
      </c>
      <c r="AJ31" s="11">
        <v>0</v>
      </c>
      <c r="AK31" s="11">
        <v>0</v>
      </c>
      <c r="AL31" s="11">
        <v>48</v>
      </c>
      <c r="AM31" s="11">
        <v>64</v>
      </c>
      <c r="AN31" s="11">
        <v>96</v>
      </c>
      <c r="AO31" s="37">
        <f t="shared" si="0"/>
        <v>144</v>
      </c>
      <c r="AP31" s="18">
        <f t="shared" si="1"/>
        <v>192</v>
      </c>
      <c r="AQ31" s="19">
        <f t="shared" si="2"/>
        <v>480</v>
      </c>
      <c r="AR31" s="58" t="s">
        <v>418</v>
      </c>
      <c r="AS31" s="33">
        <f>IFERROR(VLOOKUP(AR31,'Assumptions &amp; Inputs'!$A$73:$I$100,9,FALSE),0)</f>
        <v>165</v>
      </c>
      <c r="AT31" s="26">
        <f t="shared" si="3"/>
        <v>23760</v>
      </c>
      <c r="AU31" s="26">
        <f t="shared" si="4"/>
        <v>31680</v>
      </c>
      <c r="AV31" s="27">
        <f t="shared" si="5"/>
        <v>79200</v>
      </c>
      <c r="AW31" s="57">
        <v>50000</v>
      </c>
      <c r="AX31" s="57">
        <v>100000</v>
      </c>
      <c r="AY31" s="57">
        <v>220000</v>
      </c>
      <c r="AZ31" s="33">
        <f>IFERROR(VLOOKUP(C31,'Assumptions &amp; Inputs'!$A$104:$B$107,2,FALSE),0)</f>
        <v>0.35</v>
      </c>
      <c r="BA31" s="26">
        <f t="shared" si="6"/>
        <v>8316</v>
      </c>
      <c r="BB31" s="26">
        <f t="shared" si="7"/>
        <v>11088</v>
      </c>
      <c r="BC31" s="27">
        <f t="shared" si="8"/>
        <v>27720</v>
      </c>
      <c r="BD31" s="57" t="s">
        <v>209</v>
      </c>
      <c r="BE31" s="33">
        <f>IF(BD31="Yes",(AT31+AW31)*VLOOKUP("IN-34",'Assumptions &amp; Inputs'!$A$31:$F$69,3,FALSE),0)</f>
        <v>3688</v>
      </c>
      <c r="BF31" s="26">
        <f>IF(BD31="Yes",(AU31+AX31)*VLOOKUP("IN-34",'Assumptions &amp; Inputs'!$A$31:$F$69,4,FALSE),0)</f>
        <v>9876</v>
      </c>
      <c r="BG31" s="26">
        <f>IF(BD31="Yes",(AV31+AY31)*VLOOKUP("IN-34",'Assumptions &amp; Inputs'!$A$31:$F$69,5,FALSE),0)</f>
        <v>44880</v>
      </c>
      <c r="BH31" s="26">
        <f t="shared" si="9"/>
        <v>85764</v>
      </c>
      <c r="BI31" s="26">
        <f t="shared" si="10"/>
        <v>152644</v>
      </c>
      <c r="BJ31" s="27">
        <f t="shared" si="11"/>
        <v>371800</v>
      </c>
      <c r="BK31" s="58" t="s">
        <v>548</v>
      </c>
      <c r="BL31" s="58" t="s">
        <v>549</v>
      </c>
      <c r="BM31" s="58" t="s">
        <v>692</v>
      </c>
      <c r="BN31" s="58" t="s">
        <v>550</v>
      </c>
      <c r="BO31" s="5">
        <f t="shared" si="12"/>
        <v>1</v>
      </c>
      <c r="BP31" s="5">
        <f t="shared" si="13"/>
        <v>1</v>
      </c>
      <c r="BQ31" s="5">
        <f t="shared" si="14"/>
        <v>1</v>
      </c>
      <c r="BR31" s="5">
        <f t="shared" si="15"/>
        <v>1</v>
      </c>
      <c r="BS31" s="5">
        <f t="shared" si="16"/>
        <v>0</v>
      </c>
      <c r="BT31" s="5">
        <f t="shared" si="17"/>
        <v>0</v>
      </c>
      <c r="BU31" s="4">
        <f>IF(BO31=1,((AI31+(IF(R31="IN-07",'Assumptions &amp; Inputs'!$C$66,AF31))*AL31)*AS31)+AW31+(((AI31+(IF(R31="IN-07",'Assumptions &amp; Inputs'!$C$66,AF31))*AL31)*AS31)*AZ31)+IF(BD31="Yes",(((AI31+(IF(R31="IN-07",'Assumptions &amp; Inputs'!$C$66,AF31))*AL31)*AS31)+AW31)*VLOOKUP("IN-34",'Assumptions &amp; Inputs'!$A$31:$F$69,3,FALSE),0),0)</f>
        <v>85764</v>
      </c>
      <c r="BV31" s="4">
        <f>IF(BO31=1,((AJ31+(IF(R31="IN-07",'Assumptions &amp; Inputs'!$D$66,AG31))*AM31)*AS31)+AX31+(((AJ31+(IF(R31="IN-07",'Assumptions &amp; Inputs'!$D$66,AG31))*AM31)*AS31)*AZ31)+IF(BD31="Yes",(((AJ31+(IF(R31="IN-07",'Assumptions &amp; Inputs'!$D$66,AG31))*AM31)*AS31)+AX31)*VLOOKUP("IN-34",'Assumptions &amp; Inputs'!$A$31:$F$69,4,FALSE),0),0)</f>
        <v>182740</v>
      </c>
      <c r="BW31" s="4">
        <f>IF(BO31=1,((AK31+(IF(R31="IN-07",'Assumptions &amp; Inputs'!$E$66,AH31))*AN31)*AS31)+AY31+(((AK31+(IF(R31="IN-07",'Assumptions &amp; Inputs'!$E$66,AH31))*AN31)*AS31)*AZ31)+IF(BD31="Yes",(((AK31+(IF(R31="IN-07",'Assumptions &amp; Inputs'!$E$66,AH31))*AN31)*AS31)+AY31)*VLOOKUP("IN-34",'Assumptions &amp; Inputs'!$A$31:$F$69,5,FALSE),0),0)</f>
        <v>443080</v>
      </c>
      <c r="BX31" s="4">
        <f>IF(BP31=1,((AI31+(IF(R31="IN-07",'Assumptions &amp; Inputs'!$C$66,AF31))*AL31)*AS31)+AW31+(((AI31+(IF(R31="IN-07",'Assumptions &amp; Inputs'!$C$66,AF31))*AL31)*AS31)*AZ31)+IF(BD31="Yes",(((AI31+(IF(R31="IN-07",'Assumptions &amp; Inputs'!$C$66,AF31))*AL31)*AS31)+AW31)*VLOOKUP("IN-34",'Assumptions &amp; Inputs'!$A$31:$F$69,3,FALSE),0),0)</f>
        <v>85764</v>
      </c>
      <c r="BY31" s="4">
        <f>IF(BP31=1,((AJ31+(IF(R31="IN-07",'Assumptions &amp; Inputs'!$D$66,AG31))*AM31)*AS31)+AX31+(((AJ31+(IF(R31="IN-07",'Assumptions &amp; Inputs'!$D$66,AG31))*AM31)*AS31)*AZ31)+IF(BD31="Yes",(((AJ31+(IF(R31="IN-07",'Assumptions &amp; Inputs'!$D$66,AG31))*AM31)*AS31)+AX31)*VLOOKUP("IN-34",'Assumptions &amp; Inputs'!$A$31:$F$69,4,FALSE),0),0)</f>
        <v>182740</v>
      </c>
      <c r="BZ31" s="4">
        <f>IF(BP31=1,((AK31+(IF(R31="IN-07",'Assumptions &amp; Inputs'!$E$66,AH31))*AN31)*AS31)+AY31+(((AK31+(IF(R31="IN-07",'Assumptions &amp; Inputs'!$E$66,AH31))*AN31)*AS31)*AZ31)+IF(BD31="Yes",(((AK31+(IF(R31="IN-07",'Assumptions &amp; Inputs'!$E$66,AH31))*AN31)*AS31)+AY31)*VLOOKUP("IN-34",'Assumptions &amp; Inputs'!$A$31:$F$69,5,FALSE),0),0)</f>
        <v>443080</v>
      </c>
      <c r="CA31" s="4">
        <f>IF(BQ31=1,((AI31+(IF(R31="IN-07",'Assumptions &amp; Inputs'!$C$65,AF31))*AL31)*AS31)+AW31+(((AI31+(IF(R31="IN-07",'Assumptions &amp; Inputs'!$C$65,AF31))*AL31)*AS31)*AZ31)+IF(BD31="Yes",(((AI31+(IF(R31="IN-07",'Assumptions &amp; Inputs'!$C$65,AF31))*AL31)*AS31)+AW31)*VLOOKUP("IN-34",'Assumptions &amp; Inputs'!$A$31:$F$69,3,FALSE),0),0)</f>
        <v>85764</v>
      </c>
      <c r="CB31" s="4">
        <f>IF(BQ31=1,((AJ31+(IF(R31="IN-07",'Assumptions &amp; Inputs'!$D$65,AG31))*AM31)*AS31)+AX31+(((AJ31+(IF(R31="IN-07",'Assumptions &amp; Inputs'!$D$65,AG31))*AM31)*AS31)*AZ31)+IF(BD31="Yes",(((AJ31+(IF(R31="IN-07",'Assumptions &amp; Inputs'!$D$65,AG31))*AM31)*AS31)+AX31)*VLOOKUP("IN-34",'Assumptions &amp; Inputs'!$A$31:$F$69,4,FALSE),0),0)</f>
        <v>152644</v>
      </c>
      <c r="CC31" s="4">
        <f>IF(BQ31=1,((AK31+(IF(R31="IN-07",'Assumptions &amp; Inputs'!$E$65,AH31))*AN31)*AS31)+AY31+(((AK31+(IF(R31="IN-07",'Assumptions &amp; Inputs'!$E$65,AH31))*AN31)*AS31)*AZ31)+IF(BD31="Yes",(((AK31+(IF(R31="IN-07",'Assumptions &amp; Inputs'!$E$65,AH31))*AN31)*AS31)+AY31)*VLOOKUP("IN-34",'Assumptions &amp; Inputs'!$A$31:$F$69,5,FALSE),0),0)</f>
        <v>371800</v>
      </c>
      <c r="CD31" s="4">
        <f>IF(BR31=1,((AI31+(IF(R31="IN-07",'Assumptions &amp; Inputs'!$C$65,AF31))*AL31)*AS31)+AW31+(((AI31+(IF(R31="IN-07",'Assumptions &amp; Inputs'!$C$65,AF31))*AL31)*AS31)*AZ31)+IF(BD31="Yes",(((AI31+(IF(R31="IN-07",'Assumptions &amp; Inputs'!$C$65,AF31))*AL31)*AS31)+AW31)*VLOOKUP("IN-34",'Assumptions &amp; Inputs'!$A$31:$F$69,3,FALSE),0),0)</f>
        <v>85764</v>
      </c>
      <c r="CE31" s="4">
        <f>IF(BR31=1,((AJ31+(IF(R31="IN-07",'Assumptions &amp; Inputs'!$D$65,AG31))*AM31)*AS31)+AX31+(((AJ31+(IF(R31="IN-07",'Assumptions &amp; Inputs'!$D$65,AG31))*AM31)*AS31)*AZ31)+IF(BD31="Yes",(((AJ31+(IF(R31="IN-07",'Assumptions &amp; Inputs'!$D$65,AG31))*AM31)*AS31)+AX31)*VLOOKUP("IN-34",'Assumptions &amp; Inputs'!$A$31:$F$69,4,FALSE),0),0)</f>
        <v>152644</v>
      </c>
      <c r="CF31" s="4">
        <f>IF(BR31=1,((AK31+(IF(R31="IN-07",'Assumptions &amp; Inputs'!$E$65,AH31))*AN31)*AS31)+AY31+(((AK31+(IF(R31="IN-07",'Assumptions &amp; Inputs'!$E$65,AH31))*AN31)*AS31)*AZ31)+IF(BD31="Yes",(((AK31+(IF(R31="IN-07",'Assumptions &amp; Inputs'!$E$65,AH31))*AN31)*AS31)+AY31)*VLOOKUP("IN-34",'Assumptions &amp; Inputs'!$A$31:$F$69,5,FALSE),0),0)</f>
        <v>371800</v>
      </c>
      <c r="CG31" s="4">
        <f>IF(BS31=1,((AI31+(IF(R31="IN-07",0,AF31))*AL31)*AS31)+AW31+(((AI31+(IF(R31="IN-07",0,AF31))*AL31)*AS31)*AZ31)+IF(BD31="Yes",(((AI31+(IF(R31="IN-07",0,AF31))*AL31)*AS31)+AW31)*VLOOKUP("IN-34",'Assumptions &amp; Inputs'!$A$31:$F$69,3,FALSE),0),0)</f>
        <v>0</v>
      </c>
      <c r="CH31" s="4">
        <f>IF(BS31=1,((AJ31+(IF(R31="IN-07",0,AG31))*AM31)*AS31)+AX31+(((AJ31+(IF(R31="IN-07",0,AG31))*AM31)*AS31)*AZ31)+IF(BD31="Yes",(((AJ31+(IF(R31="IN-07",0,AG31))*AM31)*AS31)+AX31)*VLOOKUP("IN-34",'Assumptions &amp; Inputs'!$A$31:$F$69,4,FALSE),0),0)</f>
        <v>0</v>
      </c>
      <c r="CI31" s="4">
        <f>IF(BS31=1,((AK31+(IF(R31="IN-07",0,AH31))*AN31)*AS31)+AY31+(((AK31+(IF(R31="IN-07",0,AH31))*AN31)*AS31)*AZ31)+IF(BD31="Yes",(((AK31+(IF(R31="IN-07",0,AH31))*AN31)*AS31)+AY31)*VLOOKUP("IN-34",'Assumptions &amp; Inputs'!$A$31:$F$69,5,FALSE),0),0)</f>
        <v>0</v>
      </c>
      <c r="CJ31" s="4">
        <f>IF(BT31=1,((AI31+(IF(R31="IN-07",0,AF31))*AL31)*AS31)+AW31+(((AI31+(IF(R31="IN-07",0,AF31))*AL31)*AS31)*AZ31)+IF(BD31="Yes",(((AI31+(IF(R31="IN-07",0,AF31))*AL31)*AS31)+AW31)*VLOOKUP("IN-34",'Assumptions &amp; Inputs'!$A$31:$F$69,3,FALSE),0),0)</f>
        <v>0</v>
      </c>
      <c r="CK31" s="4">
        <f>IF(BT31=1,((AJ31+(IF(R31="IN-07",0,AG31))*AM31)*AS31)+AX31+(((AJ31+(IF(R31="IN-07",0,AG31))*AM31)*AS31)*AZ31)+IF(BD31="Yes",(((AJ31+(IF(R31="IN-07",0,AG31))*AM31)*AS31)+AX31)*VLOOKUP("IN-34",'Assumptions &amp; Inputs'!$A$31:$F$69,4,FALSE),0),0)</f>
        <v>0</v>
      </c>
      <c r="CL31" s="4">
        <f>IF(BT31=1,((AK31+(IF(R31="IN-07",0,AH31))*AN31)*AS31)+AY31+(((AK31+(IF(R31="IN-07",0,AH31))*AN31)*AS31)*AZ31)+IF(BD31="Yes",(((AK31+(IF(R31="IN-07",0,AH31))*AN31)*AS31)+AY31)*VLOOKUP("IN-34",'Assumptions &amp; Inputs'!$A$31:$F$69,5,FALSE),0),0)</f>
        <v>0</v>
      </c>
    </row>
    <row r="32" spans="1:90" ht="43.5" x14ac:dyDescent="0.35">
      <c r="A32" s="2" t="s">
        <v>907</v>
      </c>
      <c r="B32" s="2" t="s">
        <v>908</v>
      </c>
      <c r="C32" s="2" t="s">
        <v>48</v>
      </c>
      <c r="D32" s="2" t="s">
        <v>55</v>
      </c>
      <c r="E32" s="2" t="s">
        <v>909</v>
      </c>
      <c r="F32" s="2" t="s">
        <v>910</v>
      </c>
      <c r="G32" s="2" t="s">
        <v>911</v>
      </c>
      <c r="H32" s="2" t="s">
        <v>912</v>
      </c>
      <c r="I32" s="2" t="s">
        <v>810</v>
      </c>
      <c r="J32" s="2" t="s">
        <v>913</v>
      </c>
      <c r="K32" s="2" t="s">
        <v>914</v>
      </c>
      <c r="L32" s="2" t="s">
        <v>810</v>
      </c>
      <c r="M32" s="2" t="s">
        <v>532</v>
      </c>
      <c r="N32" s="2" t="s">
        <v>180</v>
      </c>
      <c r="O32" s="2" t="s">
        <v>813</v>
      </c>
      <c r="P32" s="2" t="s">
        <v>876</v>
      </c>
      <c r="Q32" s="2" t="s">
        <v>862</v>
      </c>
      <c r="R32" s="2" t="s">
        <v>306</v>
      </c>
      <c r="S32" s="2" t="s">
        <v>877</v>
      </c>
      <c r="T32" s="2" t="s">
        <v>687</v>
      </c>
      <c r="U32" s="2" t="s">
        <v>915</v>
      </c>
      <c r="V32" s="2" t="s">
        <v>815</v>
      </c>
      <c r="W32" s="2" t="s">
        <v>540</v>
      </c>
      <c r="X32" s="2" t="s">
        <v>916</v>
      </c>
      <c r="Y32" s="2" t="s">
        <v>917</v>
      </c>
      <c r="Z32" s="2" t="s">
        <v>543</v>
      </c>
      <c r="AA32" s="2" t="s">
        <v>853</v>
      </c>
      <c r="AB32" s="2" t="s">
        <v>36</v>
      </c>
      <c r="AC32" s="2" t="s">
        <v>918</v>
      </c>
      <c r="AD32" s="2" t="s">
        <v>919</v>
      </c>
      <c r="AE32" s="18">
        <f>IF(ISNUMBER(SEARCH('Scenario Definitions'!$C$5,N32)),1,0)</f>
        <v>1</v>
      </c>
      <c r="AF32" s="18">
        <f>IFERROR(VLOOKUP(R32,'Assumptions &amp; Inputs'!$A$31:$F$69,3,FALSE),0)</f>
        <v>3</v>
      </c>
      <c r="AG32" s="18">
        <f>IFERROR(VLOOKUP(R32,'Assumptions &amp; Inputs'!$A$31:$F$69,4,FALSE),0)</f>
        <v>5</v>
      </c>
      <c r="AH32" s="19">
        <f>IFERROR(VLOOKUP(R32,'Assumptions &amp; Inputs'!$A$31:$F$69,5,FALSE),0)</f>
        <v>8</v>
      </c>
      <c r="AI32" s="11">
        <v>75</v>
      </c>
      <c r="AJ32" s="11">
        <v>100</v>
      </c>
      <c r="AK32" s="11">
        <v>150</v>
      </c>
      <c r="AL32" s="11">
        <v>24</v>
      </c>
      <c r="AM32" s="11">
        <v>32</v>
      </c>
      <c r="AN32" s="11">
        <v>48</v>
      </c>
      <c r="AO32" s="37">
        <f t="shared" si="0"/>
        <v>147</v>
      </c>
      <c r="AP32" s="18">
        <f t="shared" si="1"/>
        <v>260</v>
      </c>
      <c r="AQ32" s="19">
        <f t="shared" si="2"/>
        <v>534</v>
      </c>
      <c r="AR32" s="58" t="s">
        <v>418</v>
      </c>
      <c r="AS32" s="33">
        <f>IFERROR(VLOOKUP(AR32,'Assumptions &amp; Inputs'!$A$73:$I$100,9,FALSE),0)</f>
        <v>165</v>
      </c>
      <c r="AT32" s="26">
        <f t="shared" si="3"/>
        <v>24255</v>
      </c>
      <c r="AU32" s="26">
        <f t="shared" si="4"/>
        <v>42900</v>
      </c>
      <c r="AV32" s="27">
        <f t="shared" si="5"/>
        <v>88110</v>
      </c>
      <c r="AW32" s="57">
        <v>5000</v>
      </c>
      <c r="AX32" s="57">
        <v>15000</v>
      </c>
      <c r="AY32" s="57">
        <v>40000</v>
      </c>
      <c r="AZ32" s="33">
        <f>IFERROR(VLOOKUP(C32,'Assumptions &amp; Inputs'!$A$104:$B$107,2,FALSE),0)</f>
        <v>0.35</v>
      </c>
      <c r="BA32" s="26">
        <f t="shared" si="6"/>
        <v>8489.25</v>
      </c>
      <c r="BB32" s="26">
        <f t="shared" si="7"/>
        <v>15014.999999999998</v>
      </c>
      <c r="BC32" s="27">
        <f t="shared" si="8"/>
        <v>30838.499999999996</v>
      </c>
      <c r="BD32" s="57" t="s">
        <v>209</v>
      </c>
      <c r="BE32" s="33">
        <f>IF(BD32="Yes",(AT32+AW32)*VLOOKUP("IN-34",'Assumptions &amp; Inputs'!$A$31:$F$69,3,FALSE),0)</f>
        <v>1462.75</v>
      </c>
      <c r="BF32" s="26">
        <f>IF(BD32="Yes",(AU32+AX32)*VLOOKUP("IN-34",'Assumptions &amp; Inputs'!$A$31:$F$69,4,FALSE),0)</f>
        <v>4342.5</v>
      </c>
      <c r="BG32" s="26">
        <f>IF(BD32="Yes",(AV32+AY32)*VLOOKUP("IN-34",'Assumptions &amp; Inputs'!$A$31:$F$69,5,FALSE),0)</f>
        <v>19216.5</v>
      </c>
      <c r="BH32" s="26">
        <f t="shared" si="9"/>
        <v>39207</v>
      </c>
      <c r="BI32" s="26">
        <f t="shared" si="10"/>
        <v>77257.5</v>
      </c>
      <c r="BJ32" s="27">
        <f t="shared" si="11"/>
        <v>178165</v>
      </c>
      <c r="BK32" s="58" t="s">
        <v>548</v>
      </c>
      <c r="BL32" s="58" t="s">
        <v>549</v>
      </c>
      <c r="BM32" s="58" t="s">
        <v>853</v>
      </c>
      <c r="BN32" s="58" t="s">
        <v>550</v>
      </c>
      <c r="BO32" s="5">
        <f t="shared" si="12"/>
        <v>1</v>
      </c>
      <c r="BP32" s="5">
        <f t="shared" si="13"/>
        <v>1</v>
      </c>
      <c r="BQ32" s="5">
        <f t="shared" si="14"/>
        <v>1</v>
      </c>
      <c r="BR32" s="5">
        <f t="shared" si="15"/>
        <v>1</v>
      </c>
      <c r="BS32" s="5">
        <f t="shared" si="16"/>
        <v>0</v>
      </c>
      <c r="BT32" s="5">
        <f t="shared" si="17"/>
        <v>0</v>
      </c>
      <c r="BU32" s="4">
        <f>IF(BO32=1,((AI32+(IF(R32="IN-07",'Assumptions &amp; Inputs'!$C$66,AF32))*AL32)*AS32)+AW32+(((AI32+(IF(R32="IN-07",'Assumptions &amp; Inputs'!$C$66,AF32))*AL32)*AS32)*AZ32)+IF(BD32="Yes",(((AI32+(IF(R32="IN-07",'Assumptions &amp; Inputs'!$C$66,AF32))*AL32)*AS32)+AW32)*VLOOKUP("IN-34",'Assumptions &amp; Inputs'!$A$31:$F$69,3,FALSE),0),0)</f>
        <v>39207</v>
      </c>
      <c r="BV32" s="4">
        <f>IF(BO32=1,((AJ32+(IF(R32="IN-07",'Assumptions &amp; Inputs'!$D$66,AG32))*AM32)*AS32)+AX32+(((AJ32+(IF(R32="IN-07",'Assumptions &amp; Inputs'!$D$66,AG32))*AM32)*AS32)*AZ32)+IF(BD32="Yes",(((AJ32+(IF(R32="IN-07",'Assumptions &amp; Inputs'!$D$66,AG32))*AM32)*AS32)+AX32)*VLOOKUP("IN-34",'Assumptions &amp; Inputs'!$A$31:$F$69,4,FALSE),0),0)</f>
        <v>77257.5</v>
      </c>
      <c r="BW32" s="4">
        <f>IF(BO32=1,((AK32+(IF(R32="IN-07",'Assumptions &amp; Inputs'!$E$66,AH32))*AN32)*AS32)+AY32+(((AK32+(IF(R32="IN-07",'Assumptions &amp; Inputs'!$E$66,AH32))*AN32)*AS32)*AZ32)+IF(BD32="Yes",(((AK32+(IF(R32="IN-07",'Assumptions &amp; Inputs'!$E$66,AH32))*AN32)*AS32)+AY32)*VLOOKUP("IN-34",'Assumptions &amp; Inputs'!$A$31:$F$69,5,FALSE),0),0)</f>
        <v>178165</v>
      </c>
      <c r="BX32" s="4">
        <f>IF(BP32=1,((AI32+(IF(R32="IN-07",'Assumptions &amp; Inputs'!$C$66,AF32))*AL32)*AS32)+AW32+(((AI32+(IF(R32="IN-07",'Assumptions &amp; Inputs'!$C$66,AF32))*AL32)*AS32)*AZ32)+IF(BD32="Yes",(((AI32+(IF(R32="IN-07",'Assumptions &amp; Inputs'!$C$66,AF32))*AL32)*AS32)+AW32)*VLOOKUP("IN-34",'Assumptions &amp; Inputs'!$A$31:$F$69,3,FALSE),0),0)</f>
        <v>39207</v>
      </c>
      <c r="BY32" s="4">
        <f>IF(BP32=1,((AJ32+(IF(R32="IN-07",'Assumptions &amp; Inputs'!$D$66,AG32))*AM32)*AS32)+AX32+(((AJ32+(IF(R32="IN-07",'Assumptions &amp; Inputs'!$D$66,AG32))*AM32)*AS32)*AZ32)+IF(BD32="Yes",(((AJ32+(IF(R32="IN-07",'Assumptions &amp; Inputs'!$D$66,AG32))*AM32)*AS32)+AX32)*VLOOKUP("IN-34",'Assumptions &amp; Inputs'!$A$31:$F$69,4,FALSE),0),0)</f>
        <v>77257.5</v>
      </c>
      <c r="BZ32" s="4">
        <f>IF(BP32=1,((AK32+(IF(R32="IN-07",'Assumptions &amp; Inputs'!$E$66,AH32))*AN32)*AS32)+AY32+(((AK32+(IF(R32="IN-07",'Assumptions &amp; Inputs'!$E$66,AH32))*AN32)*AS32)*AZ32)+IF(BD32="Yes",(((AK32+(IF(R32="IN-07",'Assumptions &amp; Inputs'!$E$66,AH32))*AN32)*AS32)+AY32)*VLOOKUP("IN-34",'Assumptions &amp; Inputs'!$A$31:$F$69,5,FALSE),0),0)</f>
        <v>178165</v>
      </c>
      <c r="CA32" s="4">
        <f>IF(BQ32=1,((AI32+(IF(R32="IN-07",'Assumptions &amp; Inputs'!$C$65,AF32))*AL32)*AS32)+AW32+(((AI32+(IF(R32="IN-07",'Assumptions &amp; Inputs'!$C$65,AF32))*AL32)*AS32)*AZ32)+IF(BD32="Yes",(((AI32+(IF(R32="IN-07",'Assumptions &amp; Inputs'!$C$65,AF32))*AL32)*AS32)+AW32)*VLOOKUP("IN-34",'Assumptions &amp; Inputs'!$A$31:$F$69,3,FALSE),0),0)</f>
        <v>39207</v>
      </c>
      <c r="CB32" s="4">
        <f>IF(BQ32=1,((AJ32+(IF(R32="IN-07",'Assumptions &amp; Inputs'!$D$65,AG32))*AM32)*AS32)+AX32+(((AJ32+(IF(R32="IN-07",'Assumptions &amp; Inputs'!$D$65,AG32))*AM32)*AS32)*AZ32)+IF(BD32="Yes",(((AJ32+(IF(R32="IN-07",'Assumptions &amp; Inputs'!$D$65,AG32))*AM32)*AS32)+AX32)*VLOOKUP("IN-34",'Assumptions &amp; Inputs'!$A$31:$F$69,4,FALSE),0),0)</f>
        <v>77257.5</v>
      </c>
      <c r="CC32" s="4">
        <f>IF(BQ32=1,((AK32+(IF(R32="IN-07",'Assumptions &amp; Inputs'!$E$65,AH32))*AN32)*AS32)+AY32+(((AK32+(IF(R32="IN-07",'Assumptions &amp; Inputs'!$E$65,AH32))*AN32)*AS32)*AZ32)+IF(BD32="Yes",(((AK32+(IF(R32="IN-07",'Assumptions &amp; Inputs'!$E$65,AH32))*AN32)*AS32)+AY32)*VLOOKUP("IN-34",'Assumptions &amp; Inputs'!$A$31:$F$69,5,FALSE),0),0)</f>
        <v>178165</v>
      </c>
      <c r="CD32" s="4">
        <f>IF(BR32=1,((AI32+(IF(R32="IN-07",'Assumptions &amp; Inputs'!$C$65,AF32))*AL32)*AS32)+AW32+(((AI32+(IF(R32="IN-07",'Assumptions &amp; Inputs'!$C$65,AF32))*AL32)*AS32)*AZ32)+IF(BD32="Yes",(((AI32+(IF(R32="IN-07",'Assumptions &amp; Inputs'!$C$65,AF32))*AL32)*AS32)+AW32)*VLOOKUP("IN-34",'Assumptions &amp; Inputs'!$A$31:$F$69,3,FALSE),0),0)</f>
        <v>39207</v>
      </c>
      <c r="CE32" s="4">
        <f>IF(BR32=1,((AJ32+(IF(R32="IN-07",'Assumptions &amp; Inputs'!$D$65,AG32))*AM32)*AS32)+AX32+(((AJ32+(IF(R32="IN-07",'Assumptions &amp; Inputs'!$D$65,AG32))*AM32)*AS32)*AZ32)+IF(BD32="Yes",(((AJ32+(IF(R32="IN-07",'Assumptions &amp; Inputs'!$D$65,AG32))*AM32)*AS32)+AX32)*VLOOKUP("IN-34",'Assumptions &amp; Inputs'!$A$31:$F$69,4,FALSE),0),0)</f>
        <v>77257.5</v>
      </c>
      <c r="CF32" s="4">
        <f>IF(BR32=1,((AK32+(IF(R32="IN-07",'Assumptions &amp; Inputs'!$E$65,AH32))*AN32)*AS32)+AY32+(((AK32+(IF(R32="IN-07",'Assumptions &amp; Inputs'!$E$65,AH32))*AN32)*AS32)*AZ32)+IF(BD32="Yes",(((AK32+(IF(R32="IN-07",'Assumptions &amp; Inputs'!$E$65,AH32))*AN32)*AS32)+AY32)*VLOOKUP("IN-34",'Assumptions &amp; Inputs'!$A$31:$F$69,5,FALSE),0),0)</f>
        <v>178165</v>
      </c>
      <c r="CG32" s="4">
        <f>IF(BS32=1,((AI32+(IF(R32="IN-07",0,AF32))*AL32)*AS32)+AW32+(((AI32+(IF(R32="IN-07",0,AF32))*AL32)*AS32)*AZ32)+IF(BD32="Yes",(((AI32+(IF(R32="IN-07",0,AF32))*AL32)*AS32)+AW32)*VLOOKUP("IN-34",'Assumptions &amp; Inputs'!$A$31:$F$69,3,FALSE),0),0)</f>
        <v>0</v>
      </c>
      <c r="CH32" s="4">
        <f>IF(BS32=1,((AJ32+(IF(R32="IN-07",0,AG32))*AM32)*AS32)+AX32+(((AJ32+(IF(R32="IN-07",0,AG32))*AM32)*AS32)*AZ32)+IF(BD32="Yes",(((AJ32+(IF(R32="IN-07",0,AG32))*AM32)*AS32)+AX32)*VLOOKUP("IN-34",'Assumptions &amp; Inputs'!$A$31:$F$69,4,FALSE),0),0)</f>
        <v>0</v>
      </c>
      <c r="CI32" s="4">
        <f>IF(BS32=1,((AK32+(IF(R32="IN-07",0,AH32))*AN32)*AS32)+AY32+(((AK32+(IF(R32="IN-07",0,AH32))*AN32)*AS32)*AZ32)+IF(BD32="Yes",(((AK32+(IF(R32="IN-07",0,AH32))*AN32)*AS32)+AY32)*VLOOKUP("IN-34",'Assumptions &amp; Inputs'!$A$31:$F$69,5,FALSE),0),0)</f>
        <v>0</v>
      </c>
      <c r="CJ32" s="4">
        <f>IF(BT32=1,((AI32+(IF(R32="IN-07",0,AF32))*AL32)*AS32)+AW32+(((AI32+(IF(R32="IN-07",0,AF32))*AL32)*AS32)*AZ32)+IF(BD32="Yes",(((AI32+(IF(R32="IN-07",0,AF32))*AL32)*AS32)+AW32)*VLOOKUP("IN-34",'Assumptions &amp; Inputs'!$A$31:$F$69,3,FALSE),0),0)</f>
        <v>0</v>
      </c>
      <c r="CK32" s="4">
        <f>IF(BT32=1,((AJ32+(IF(R32="IN-07",0,AG32))*AM32)*AS32)+AX32+(((AJ32+(IF(R32="IN-07",0,AG32))*AM32)*AS32)*AZ32)+IF(BD32="Yes",(((AJ32+(IF(R32="IN-07",0,AG32))*AM32)*AS32)+AX32)*VLOOKUP("IN-34",'Assumptions &amp; Inputs'!$A$31:$F$69,4,FALSE),0),0)</f>
        <v>0</v>
      </c>
      <c r="CL32" s="4">
        <f>IF(BT32=1,((AK32+(IF(R32="IN-07",0,AH32))*AN32)*AS32)+AY32+(((AK32+(IF(R32="IN-07",0,AH32))*AN32)*AS32)*AZ32)+IF(BD32="Yes",(((AK32+(IF(R32="IN-07",0,AH32))*AN32)*AS32)+AY32)*VLOOKUP("IN-34",'Assumptions &amp; Inputs'!$A$31:$F$69,5,FALSE),0),0)</f>
        <v>0</v>
      </c>
    </row>
    <row r="33" spans="1:90" ht="43.5" x14ac:dyDescent="0.35">
      <c r="A33" s="2" t="s">
        <v>920</v>
      </c>
      <c r="B33" s="2" t="s">
        <v>908</v>
      </c>
      <c r="C33" s="2" t="s">
        <v>48</v>
      </c>
      <c r="D33" s="2" t="s">
        <v>55</v>
      </c>
      <c r="E33" s="2" t="s">
        <v>921</v>
      </c>
      <c r="F33" s="2" t="s">
        <v>922</v>
      </c>
      <c r="G33" s="2" t="s">
        <v>923</v>
      </c>
      <c r="H33" s="2" t="s">
        <v>924</v>
      </c>
      <c r="I33" s="2" t="s">
        <v>810</v>
      </c>
      <c r="J33" s="2" t="s">
        <v>913</v>
      </c>
      <c r="K33" s="2" t="s">
        <v>925</v>
      </c>
      <c r="L33" s="2" t="s">
        <v>810</v>
      </c>
      <c r="M33" s="2" t="s">
        <v>532</v>
      </c>
      <c r="N33" s="2" t="s">
        <v>670</v>
      </c>
      <c r="O33" s="2" t="s">
        <v>671</v>
      </c>
      <c r="P33" s="2" t="s">
        <v>876</v>
      </c>
      <c r="Q33" s="2" t="s">
        <v>862</v>
      </c>
      <c r="R33" s="2" t="s">
        <v>306</v>
      </c>
      <c r="S33" s="2" t="s">
        <v>877</v>
      </c>
      <c r="T33" s="2" t="s">
        <v>687</v>
      </c>
      <c r="U33" s="2" t="s">
        <v>926</v>
      </c>
      <c r="V33" s="2" t="s">
        <v>815</v>
      </c>
      <c r="W33" s="2" t="s">
        <v>927</v>
      </c>
      <c r="X33" s="2" t="s">
        <v>928</v>
      </c>
      <c r="Y33" s="2" t="s">
        <v>929</v>
      </c>
      <c r="Z33" s="2" t="s">
        <v>543</v>
      </c>
      <c r="AA33" s="2" t="s">
        <v>853</v>
      </c>
      <c r="AB33" s="2" t="s">
        <v>36</v>
      </c>
      <c r="AC33" s="2" t="s">
        <v>675</v>
      </c>
      <c r="AD33" s="2" t="s">
        <v>676</v>
      </c>
      <c r="AE33" s="18">
        <f>IF(ISNUMBER(SEARCH('Scenario Definitions'!$C$5,N33)),1,0)</f>
        <v>0</v>
      </c>
      <c r="AF33" s="18">
        <f>IFERROR(VLOOKUP(R33,'Assumptions &amp; Inputs'!$A$31:$F$69,3,FALSE),0)</f>
        <v>3</v>
      </c>
      <c r="AG33" s="18">
        <f>IFERROR(VLOOKUP(R33,'Assumptions &amp; Inputs'!$A$31:$F$69,4,FALSE),0)</f>
        <v>5</v>
      </c>
      <c r="AH33" s="19">
        <f>IFERROR(VLOOKUP(R33,'Assumptions &amp; Inputs'!$A$31:$F$69,5,FALSE),0)</f>
        <v>8</v>
      </c>
      <c r="AI33" s="11">
        <v>60</v>
      </c>
      <c r="AJ33" s="11">
        <v>80</v>
      </c>
      <c r="AK33" s="11">
        <v>120</v>
      </c>
      <c r="AL33" s="11">
        <v>21</v>
      </c>
      <c r="AM33" s="11">
        <v>28</v>
      </c>
      <c r="AN33" s="11">
        <v>42</v>
      </c>
      <c r="AO33" s="37">
        <f t="shared" si="0"/>
        <v>123</v>
      </c>
      <c r="AP33" s="18">
        <f t="shared" si="1"/>
        <v>220</v>
      </c>
      <c r="AQ33" s="19">
        <f t="shared" si="2"/>
        <v>456</v>
      </c>
      <c r="AR33" s="58" t="s">
        <v>418</v>
      </c>
      <c r="AS33" s="33">
        <f>IFERROR(VLOOKUP(AR33,'Assumptions &amp; Inputs'!$A$73:$I$100,9,FALSE),0)</f>
        <v>165</v>
      </c>
      <c r="AT33" s="26">
        <f t="shared" si="3"/>
        <v>20295</v>
      </c>
      <c r="AU33" s="26">
        <f t="shared" si="4"/>
        <v>36300</v>
      </c>
      <c r="AV33" s="27">
        <f t="shared" si="5"/>
        <v>75240</v>
      </c>
      <c r="AW33" s="57">
        <v>5000</v>
      </c>
      <c r="AX33" s="57">
        <v>15000</v>
      </c>
      <c r="AY33" s="57">
        <v>50000</v>
      </c>
      <c r="AZ33" s="33">
        <f>IFERROR(VLOOKUP(C33,'Assumptions &amp; Inputs'!$A$104:$B$107,2,FALSE),0)</f>
        <v>0.35</v>
      </c>
      <c r="BA33" s="26">
        <f t="shared" si="6"/>
        <v>7103.25</v>
      </c>
      <c r="BB33" s="26">
        <f t="shared" si="7"/>
        <v>12705</v>
      </c>
      <c r="BC33" s="27">
        <f t="shared" si="8"/>
        <v>26334</v>
      </c>
      <c r="BD33" s="57" t="s">
        <v>209</v>
      </c>
      <c r="BE33" s="33">
        <f>IF(BD33="Yes",(AT33+AW33)*VLOOKUP("IN-34",'Assumptions &amp; Inputs'!$A$31:$F$69,3,FALSE),0)</f>
        <v>1264.75</v>
      </c>
      <c r="BF33" s="26">
        <f>IF(BD33="Yes",(AU33+AX33)*VLOOKUP("IN-34",'Assumptions &amp; Inputs'!$A$31:$F$69,4,FALSE),0)</f>
        <v>3847.5</v>
      </c>
      <c r="BG33" s="26">
        <f>IF(BD33="Yes",(AV33+AY33)*VLOOKUP("IN-34",'Assumptions &amp; Inputs'!$A$31:$F$69,5,FALSE),0)</f>
        <v>18786</v>
      </c>
      <c r="BH33" s="26">
        <f t="shared" si="9"/>
        <v>33663</v>
      </c>
      <c r="BI33" s="26">
        <f t="shared" si="10"/>
        <v>67852.5</v>
      </c>
      <c r="BJ33" s="27">
        <f t="shared" si="11"/>
        <v>170360</v>
      </c>
      <c r="BK33" s="58" t="s">
        <v>548</v>
      </c>
      <c r="BL33" s="58" t="s">
        <v>549</v>
      </c>
      <c r="BM33" s="58" t="s">
        <v>853</v>
      </c>
      <c r="BN33" s="58" t="s">
        <v>550</v>
      </c>
      <c r="BO33" s="5">
        <f t="shared" si="12"/>
        <v>0</v>
      </c>
      <c r="BP33" s="5">
        <f t="shared" si="13"/>
        <v>1</v>
      </c>
      <c r="BQ33" s="5">
        <f t="shared" si="14"/>
        <v>0</v>
      </c>
      <c r="BR33" s="5">
        <f t="shared" si="15"/>
        <v>1</v>
      </c>
      <c r="BS33" s="5">
        <f t="shared" si="16"/>
        <v>0</v>
      </c>
      <c r="BT33" s="5">
        <f t="shared" si="17"/>
        <v>1</v>
      </c>
      <c r="BU33" s="4">
        <f>IF(BO33=1,((AI33+(IF(R33="IN-07",'Assumptions &amp; Inputs'!$C$66,AF33))*AL33)*AS33)+AW33+(((AI33+(IF(R33="IN-07",'Assumptions &amp; Inputs'!$C$66,AF33))*AL33)*AS33)*AZ33)+IF(BD33="Yes",(((AI33+(IF(R33="IN-07",'Assumptions &amp; Inputs'!$C$66,AF33))*AL33)*AS33)+AW33)*VLOOKUP("IN-34",'Assumptions &amp; Inputs'!$A$31:$F$69,3,FALSE),0),0)</f>
        <v>0</v>
      </c>
      <c r="BV33" s="4">
        <f>IF(BO33=1,((AJ33+(IF(R33="IN-07",'Assumptions &amp; Inputs'!$D$66,AG33))*AM33)*AS33)+AX33+(((AJ33+(IF(R33="IN-07",'Assumptions &amp; Inputs'!$D$66,AG33))*AM33)*AS33)*AZ33)+IF(BD33="Yes",(((AJ33+(IF(R33="IN-07",'Assumptions &amp; Inputs'!$D$66,AG33))*AM33)*AS33)+AX33)*VLOOKUP("IN-34",'Assumptions &amp; Inputs'!$A$31:$F$69,4,FALSE),0),0)</f>
        <v>0</v>
      </c>
      <c r="BW33" s="4">
        <f>IF(BO33=1,((AK33+(IF(R33="IN-07",'Assumptions &amp; Inputs'!$E$66,AH33))*AN33)*AS33)+AY33+(((AK33+(IF(R33="IN-07",'Assumptions &amp; Inputs'!$E$66,AH33))*AN33)*AS33)*AZ33)+IF(BD33="Yes",(((AK33+(IF(R33="IN-07",'Assumptions &amp; Inputs'!$E$66,AH33))*AN33)*AS33)+AY33)*VLOOKUP("IN-34",'Assumptions &amp; Inputs'!$A$31:$F$69,5,FALSE),0),0)</f>
        <v>0</v>
      </c>
      <c r="BX33" s="4">
        <f>IF(BP33=1,((AI33+(IF(R33="IN-07",'Assumptions &amp; Inputs'!$C$66,AF33))*AL33)*AS33)+AW33+(((AI33+(IF(R33="IN-07",'Assumptions &amp; Inputs'!$C$66,AF33))*AL33)*AS33)*AZ33)+IF(BD33="Yes",(((AI33+(IF(R33="IN-07",'Assumptions &amp; Inputs'!$C$66,AF33))*AL33)*AS33)+AW33)*VLOOKUP("IN-34",'Assumptions &amp; Inputs'!$A$31:$F$69,3,FALSE),0),0)</f>
        <v>33663</v>
      </c>
      <c r="BY33" s="4">
        <f>IF(BP33=1,((AJ33+(IF(R33="IN-07",'Assumptions &amp; Inputs'!$D$66,AG33))*AM33)*AS33)+AX33+(((AJ33+(IF(R33="IN-07",'Assumptions &amp; Inputs'!$D$66,AG33))*AM33)*AS33)*AZ33)+IF(BD33="Yes",(((AJ33+(IF(R33="IN-07",'Assumptions &amp; Inputs'!$D$66,AG33))*AM33)*AS33)+AX33)*VLOOKUP("IN-34",'Assumptions &amp; Inputs'!$A$31:$F$69,4,FALSE),0),0)</f>
        <v>67852.5</v>
      </c>
      <c r="BZ33" s="4">
        <f>IF(BP33=1,((AK33+(IF(R33="IN-07",'Assumptions &amp; Inputs'!$E$66,AH33))*AN33)*AS33)+AY33+(((AK33+(IF(R33="IN-07",'Assumptions &amp; Inputs'!$E$66,AH33))*AN33)*AS33)*AZ33)+IF(BD33="Yes",(((AK33+(IF(R33="IN-07",'Assumptions &amp; Inputs'!$E$66,AH33))*AN33)*AS33)+AY33)*VLOOKUP("IN-34",'Assumptions &amp; Inputs'!$A$31:$F$69,5,FALSE),0),0)</f>
        <v>170360</v>
      </c>
      <c r="CA33" s="4">
        <f>IF(BQ33=1,((AI33+(IF(R33="IN-07",'Assumptions &amp; Inputs'!$C$65,AF33))*AL33)*AS33)+AW33+(((AI33+(IF(R33="IN-07",'Assumptions &amp; Inputs'!$C$65,AF33))*AL33)*AS33)*AZ33)+IF(BD33="Yes",(((AI33+(IF(R33="IN-07",'Assumptions &amp; Inputs'!$C$65,AF33))*AL33)*AS33)+AW33)*VLOOKUP("IN-34",'Assumptions &amp; Inputs'!$A$31:$F$69,3,FALSE),0),0)</f>
        <v>0</v>
      </c>
      <c r="CB33" s="4">
        <f>IF(BQ33=1,((AJ33+(IF(R33="IN-07",'Assumptions &amp; Inputs'!$D$65,AG33))*AM33)*AS33)+AX33+(((AJ33+(IF(R33="IN-07",'Assumptions &amp; Inputs'!$D$65,AG33))*AM33)*AS33)*AZ33)+IF(BD33="Yes",(((AJ33+(IF(R33="IN-07",'Assumptions &amp; Inputs'!$D$65,AG33))*AM33)*AS33)+AX33)*VLOOKUP("IN-34",'Assumptions &amp; Inputs'!$A$31:$F$69,4,FALSE),0),0)</f>
        <v>0</v>
      </c>
      <c r="CC33" s="4">
        <f>IF(BQ33=1,((AK33+(IF(R33="IN-07",'Assumptions &amp; Inputs'!$E$65,AH33))*AN33)*AS33)+AY33+(((AK33+(IF(R33="IN-07",'Assumptions &amp; Inputs'!$E$65,AH33))*AN33)*AS33)*AZ33)+IF(BD33="Yes",(((AK33+(IF(R33="IN-07",'Assumptions &amp; Inputs'!$E$65,AH33))*AN33)*AS33)+AY33)*VLOOKUP("IN-34",'Assumptions &amp; Inputs'!$A$31:$F$69,5,FALSE),0),0)</f>
        <v>0</v>
      </c>
      <c r="CD33" s="4">
        <f>IF(BR33=1,((AI33+(IF(R33="IN-07",'Assumptions &amp; Inputs'!$C$65,AF33))*AL33)*AS33)+AW33+(((AI33+(IF(R33="IN-07",'Assumptions &amp; Inputs'!$C$65,AF33))*AL33)*AS33)*AZ33)+IF(BD33="Yes",(((AI33+(IF(R33="IN-07",'Assumptions &amp; Inputs'!$C$65,AF33))*AL33)*AS33)+AW33)*VLOOKUP("IN-34",'Assumptions &amp; Inputs'!$A$31:$F$69,3,FALSE),0),0)</f>
        <v>33663</v>
      </c>
      <c r="CE33" s="4">
        <f>IF(BR33=1,((AJ33+(IF(R33="IN-07",'Assumptions &amp; Inputs'!$D$65,AG33))*AM33)*AS33)+AX33+(((AJ33+(IF(R33="IN-07",'Assumptions &amp; Inputs'!$D$65,AG33))*AM33)*AS33)*AZ33)+IF(BD33="Yes",(((AJ33+(IF(R33="IN-07",'Assumptions &amp; Inputs'!$D$65,AG33))*AM33)*AS33)+AX33)*VLOOKUP("IN-34",'Assumptions &amp; Inputs'!$A$31:$F$69,4,FALSE),0),0)</f>
        <v>67852.5</v>
      </c>
      <c r="CF33" s="4">
        <f>IF(BR33=1,((AK33+(IF(R33="IN-07",'Assumptions &amp; Inputs'!$E$65,AH33))*AN33)*AS33)+AY33+(((AK33+(IF(R33="IN-07",'Assumptions &amp; Inputs'!$E$65,AH33))*AN33)*AS33)*AZ33)+IF(BD33="Yes",(((AK33+(IF(R33="IN-07",'Assumptions &amp; Inputs'!$E$65,AH33))*AN33)*AS33)+AY33)*VLOOKUP("IN-34",'Assumptions &amp; Inputs'!$A$31:$F$69,5,FALSE),0),0)</f>
        <v>170360</v>
      </c>
      <c r="CG33" s="4">
        <f>IF(BS33=1,((AI33+(IF(R33="IN-07",0,AF33))*AL33)*AS33)+AW33+(((AI33+(IF(R33="IN-07",0,AF33))*AL33)*AS33)*AZ33)+IF(BD33="Yes",(((AI33+(IF(R33="IN-07",0,AF33))*AL33)*AS33)+AW33)*VLOOKUP("IN-34",'Assumptions &amp; Inputs'!$A$31:$F$69,3,FALSE),0),0)</f>
        <v>0</v>
      </c>
      <c r="CH33" s="4">
        <f>IF(BS33=1,((AJ33+(IF(R33="IN-07",0,AG33))*AM33)*AS33)+AX33+(((AJ33+(IF(R33="IN-07",0,AG33))*AM33)*AS33)*AZ33)+IF(BD33="Yes",(((AJ33+(IF(R33="IN-07",0,AG33))*AM33)*AS33)+AX33)*VLOOKUP("IN-34",'Assumptions &amp; Inputs'!$A$31:$F$69,4,FALSE),0),0)</f>
        <v>0</v>
      </c>
      <c r="CI33" s="4">
        <f>IF(BS33=1,((AK33+(IF(R33="IN-07",0,AH33))*AN33)*AS33)+AY33+(((AK33+(IF(R33="IN-07",0,AH33))*AN33)*AS33)*AZ33)+IF(BD33="Yes",(((AK33+(IF(R33="IN-07",0,AH33))*AN33)*AS33)+AY33)*VLOOKUP("IN-34",'Assumptions &amp; Inputs'!$A$31:$F$69,5,FALSE),0),0)</f>
        <v>0</v>
      </c>
      <c r="CJ33" s="4">
        <f>IF(BT33=1,((AI33+(IF(R33="IN-07",0,AF33))*AL33)*AS33)+AW33+(((AI33+(IF(R33="IN-07",0,AF33))*AL33)*AS33)*AZ33)+IF(BD33="Yes",(((AI33+(IF(R33="IN-07",0,AF33))*AL33)*AS33)+AW33)*VLOOKUP("IN-34",'Assumptions &amp; Inputs'!$A$31:$F$69,3,FALSE),0),0)</f>
        <v>33663</v>
      </c>
      <c r="CK33" s="4">
        <f>IF(BT33=1,((AJ33+(IF(R33="IN-07",0,AG33))*AM33)*AS33)+AX33+(((AJ33+(IF(R33="IN-07",0,AG33))*AM33)*AS33)*AZ33)+IF(BD33="Yes",(((AJ33+(IF(R33="IN-07",0,AG33))*AM33)*AS33)+AX33)*VLOOKUP("IN-34",'Assumptions &amp; Inputs'!$A$31:$F$69,4,FALSE),0),0)</f>
        <v>67852.5</v>
      </c>
      <c r="CL33" s="4">
        <f>IF(BT33=1,((AK33+(IF(R33="IN-07",0,AH33))*AN33)*AS33)+AY33+(((AK33+(IF(R33="IN-07",0,AH33))*AN33)*AS33)*AZ33)+IF(BD33="Yes",(((AK33+(IF(R33="IN-07",0,AH33))*AN33)*AS33)+AY33)*VLOOKUP("IN-34",'Assumptions &amp; Inputs'!$A$31:$F$69,5,FALSE),0),0)</f>
        <v>170360</v>
      </c>
    </row>
    <row r="34" spans="1:90" ht="43.5" x14ac:dyDescent="0.35">
      <c r="A34" s="2" t="s">
        <v>930</v>
      </c>
      <c r="B34" s="2" t="s">
        <v>931</v>
      </c>
      <c r="C34" s="2" t="s">
        <v>48</v>
      </c>
      <c r="D34" s="2" t="s">
        <v>55</v>
      </c>
      <c r="E34" s="2" t="s">
        <v>932</v>
      </c>
      <c r="F34" s="2" t="s">
        <v>933</v>
      </c>
      <c r="G34" s="2" t="s">
        <v>934</v>
      </c>
      <c r="H34" s="2" t="s">
        <v>935</v>
      </c>
      <c r="I34" s="2" t="s">
        <v>810</v>
      </c>
      <c r="J34" s="2" t="s">
        <v>936</v>
      </c>
      <c r="K34" s="2" t="s">
        <v>163</v>
      </c>
      <c r="L34" s="2" t="s">
        <v>810</v>
      </c>
      <c r="M34" s="2" t="s">
        <v>532</v>
      </c>
      <c r="N34" s="2" t="s">
        <v>180</v>
      </c>
      <c r="O34" s="2" t="s">
        <v>813</v>
      </c>
      <c r="P34" s="2" t="s">
        <v>612</v>
      </c>
      <c r="Q34" s="2" t="s">
        <v>613</v>
      </c>
      <c r="R34" s="2" t="s">
        <v>323</v>
      </c>
      <c r="S34" s="2" t="s">
        <v>614</v>
      </c>
      <c r="T34" s="2" t="s">
        <v>687</v>
      </c>
      <c r="U34" s="2" t="s">
        <v>937</v>
      </c>
      <c r="V34" s="2" t="s">
        <v>815</v>
      </c>
      <c r="W34" s="2" t="s">
        <v>540</v>
      </c>
      <c r="X34" s="2" t="s">
        <v>617</v>
      </c>
      <c r="Y34" s="2" t="s">
        <v>938</v>
      </c>
      <c r="Z34" s="2" t="s">
        <v>543</v>
      </c>
      <c r="AA34" s="2" t="s">
        <v>853</v>
      </c>
      <c r="AB34" s="2" t="s">
        <v>36</v>
      </c>
      <c r="AC34" s="2" t="s">
        <v>939</v>
      </c>
      <c r="AD34" s="2" t="s">
        <v>619</v>
      </c>
      <c r="AE34" s="18">
        <f>IF(ISNUMBER(SEARCH('Scenario Definitions'!$C$5,N34)),1,0)</f>
        <v>1</v>
      </c>
      <c r="AF34" s="18">
        <f>IFERROR(VLOOKUP(R34,'Assumptions &amp; Inputs'!$A$31:$F$69,3,FALSE),0)</f>
        <v>2</v>
      </c>
      <c r="AG34" s="18">
        <f>IFERROR(VLOOKUP(R34,'Assumptions &amp; Inputs'!$A$31:$F$69,4,FALSE),0)</f>
        <v>2</v>
      </c>
      <c r="AH34" s="19">
        <f>IFERROR(VLOOKUP(R34,'Assumptions &amp; Inputs'!$A$31:$F$69,5,FALSE),0)</f>
        <v>3</v>
      </c>
      <c r="AI34" s="11">
        <v>0</v>
      </c>
      <c r="AJ34" s="11">
        <v>0</v>
      </c>
      <c r="AK34" s="11">
        <v>0</v>
      </c>
      <c r="AL34" s="11">
        <v>16.2</v>
      </c>
      <c r="AM34" s="11">
        <v>21.6</v>
      </c>
      <c r="AN34" s="11">
        <v>32.4</v>
      </c>
      <c r="AO34" s="37">
        <f t="shared" si="0"/>
        <v>32.4</v>
      </c>
      <c r="AP34" s="18">
        <f t="shared" si="1"/>
        <v>43.2</v>
      </c>
      <c r="AQ34" s="19">
        <f t="shared" si="2"/>
        <v>97.199999999999989</v>
      </c>
      <c r="AR34" s="58" t="s">
        <v>418</v>
      </c>
      <c r="AS34" s="33">
        <f>IFERROR(VLOOKUP(AR34,'Assumptions &amp; Inputs'!$A$73:$I$100,9,FALSE),0)</f>
        <v>165</v>
      </c>
      <c r="AT34" s="26">
        <f t="shared" si="3"/>
        <v>5346</v>
      </c>
      <c r="AU34" s="26">
        <f t="shared" si="4"/>
        <v>7128.0000000000009</v>
      </c>
      <c r="AV34" s="27">
        <f t="shared" si="5"/>
        <v>16037.999999999998</v>
      </c>
      <c r="AW34" s="57">
        <v>3000</v>
      </c>
      <c r="AX34" s="57">
        <v>10000</v>
      </c>
      <c r="AY34" s="57">
        <v>30000</v>
      </c>
      <c r="AZ34" s="33">
        <f>IFERROR(VLOOKUP(C34,'Assumptions &amp; Inputs'!$A$104:$B$107,2,FALSE),0)</f>
        <v>0.35</v>
      </c>
      <c r="BA34" s="26">
        <f t="shared" si="6"/>
        <v>1871.1</v>
      </c>
      <c r="BB34" s="26">
        <f t="shared" si="7"/>
        <v>2494.8000000000002</v>
      </c>
      <c r="BC34" s="27">
        <f t="shared" si="8"/>
        <v>5613.2999999999993</v>
      </c>
      <c r="BD34" s="57" t="s">
        <v>209</v>
      </c>
      <c r="BE34" s="33">
        <f>IF(BD34="Yes",(AT34+AW34)*VLOOKUP("IN-34",'Assumptions &amp; Inputs'!$A$31:$F$69,3,FALSE),0)</f>
        <v>417.3</v>
      </c>
      <c r="BF34" s="26">
        <f>IF(BD34="Yes",(AU34+AX34)*VLOOKUP("IN-34",'Assumptions &amp; Inputs'!$A$31:$F$69,4,FALSE),0)</f>
        <v>1284.5999999999999</v>
      </c>
      <c r="BG34" s="26">
        <f>IF(BD34="Yes",(AV34+AY34)*VLOOKUP("IN-34",'Assumptions &amp; Inputs'!$A$31:$F$69,5,FALSE),0)</f>
        <v>6905.7</v>
      </c>
      <c r="BH34" s="26">
        <f t="shared" si="9"/>
        <v>10634.4</v>
      </c>
      <c r="BI34" s="26">
        <f t="shared" si="10"/>
        <v>20907.399999999998</v>
      </c>
      <c r="BJ34" s="27">
        <f t="shared" si="11"/>
        <v>58557</v>
      </c>
      <c r="BK34" s="58" t="s">
        <v>548</v>
      </c>
      <c r="BL34" s="58" t="s">
        <v>549</v>
      </c>
      <c r="BM34" s="58" t="s">
        <v>853</v>
      </c>
      <c r="BN34" s="58" t="s">
        <v>550</v>
      </c>
      <c r="BO34" s="5">
        <f t="shared" si="12"/>
        <v>1</v>
      </c>
      <c r="BP34" s="5">
        <f t="shared" si="13"/>
        <v>1</v>
      </c>
      <c r="BQ34" s="5">
        <f t="shared" si="14"/>
        <v>1</v>
      </c>
      <c r="BR34" s="5">
        <f t="shared" si="15"/>
        <v>1</v>
      </c>
      <c r="BS34" s="5">
        <f t="shared" si="16"/>
        <v>0</v>
      </c>
      <c r="BT34" s="5">
        <f t="shared" si="17"/>
        <v>0</v>
      </c>
      <c r="BU34" s="4">
        <f>IF(BO34=1,((AI34+(IF(R34="IN-07",'Assumptions &amp; Inputs'!$C$66,AF34))*AL34)*AS34)+AW34+(((AI34+(IF(R34="IN-07",'Assumptions &amp; Inputs'!$C$66,AF34))*AL34)*AS34)*AZ34)+IF(BD34="Yes",(((AI34+(IF(R34="IN-07",'Assumptions &amp; Inputs'!$C$66,AF34))*AL34)*AS34)+AW34)*VLOOKUP("IN-34",'Assumptions &amp; Inputs'!$A$31:$F$69,3,FALSE),0),0)</f>
        <v>10634.4</v>
      </c>
      <c r="BV34" s="4">
        <f>IF(BO34=1,((AJ34+(IF(R34="IN-07",'Assumptions &amp; Inputs'!$D$66,AG34))*AM34)*AS34)+AX34+(((AJ34+(IF(R34="IN-07",'Assumptions &amp; Inputs'!$D$66,AG34))*AM34)*AS34)*AZ34)+IF(BD34="Yes",(((AJ34+(IF(R34="IN-07",'Assumptions &amp; Inputs'!$D$66,AG34))*AM34)*AS34)+AX34)*VLOOKUP("IN-34",'Assumptions &amp; Inputs'!$A$31:$F$69,4,FALSE),0),0)</f>
        <v>20907.399999999998</v>
      </c>
      <c r="BW34" s="4">
        <f>IF(BO34=1,((AK34+(IF(R34="IN-07",'Assumptions &amp; Inputs'!$E$66,AH34))*AN34)*AS34)+AY34+(((AK34+(IF(R34="IN-07",'Assumptions &amp; Inputs'!$E$66,AH34))*AN34)*AS34)*AZ34)+IF(BD34="Yes",(((AK34+(IF(R34="IN-07",'Assumptions &amp; Inputs'!$E$66,AH34))*AN34)*AS34)+AY34)*VLOOKUP("IN-34",'Assumptions &amp; Inputs'!$A$31:$F$69,5,FALSE),0),0)</f>
        <v>58557</v>
      </c>
      <c r="BX34" s="4">
        <f>IF(BP34=1,((AI34+(IF(R34="IN-07",'Assumptions &amp; Inputs'!$C$66,AF34))*AL34)*AS34)+AW34+(((AI34+(IF(R34="IN-07",'Assumptions &amp; Inputs'!$C$66,AF34))*AL34)*AS34)*AZ34)+IF(BD34="Yes",(((AI34+(IF(R34="IN-07",'Assumptions &amp; Inputs'!$C$66,AF34))*AL34)*AS34)+AW34)*VLOOKUP("IN-34",'Assumptions &amp; Inputs'!$A$31:$F$69,3,FALSE),0),0)</f>
        <v>10634.4</v>
      </c>
      <c r="BY34" s="4">
        <f>IF(BP34=1,((AJ34+(IF(R34="IN-07",'Assumptions &amp; Inputs'!$D$66,AG34))*AM34)*AS34)+AX34+(((AJ34+(IF(R34="IN-07",'Assumptions &amp; Inputs'!$D$66,AG34))*AM34)*AS34)*AZ34)+IF(BD34="Yes",(((AJ34+(IF(R34="IN-07",'Assumptions &amp; Inputs'!$D$66,AG34))*AM34)*AS34)+AX34)*VLOOKUP("IN-34",'Assumptions &amp; Inputs'!$A$31:$F$69,4,FALSE),0),0)</f>
        <v>20907.399999999998</v>
      </c>
      <c r="BZ34" s="4">
        <f>IF(BP34=1,((AK34+(IF(R34="IN-07",'Assumptions &amp; Inputs'!$E$66,AH34))*AN34)*AS34)+AY34+(((AK34+(IF(R34="IN-07",'Assumptions &amp; Inputs'!$E$66,AH34))*AN34)*AS34)*AZ34)+IF(BD34="Yes",(((AK34+(IF(R34="IN-07",'Assumptions &amp; Inputs'!$E$66,AH34))*AN34)*AS34)+AY34)*VLOOKUP("IN-34",'Assumptions &amp; Inputs'!$A$31:$F$69,5,FALSE),0),0)</f>
        <v>58557</v>
      </c>
      <c r="CA34" s="4">
        <f>IF(BQ34=1,((AI34+(IF(R34="IN-07",'Assumptions &amp; Inputs'!$C$65,AF34))*AL34)*AS34)+AW34+(((AI34+(IF(R34="IN-07",'Assumptions &amp; Inputs'!$C$65,AF34))*AL34)*AS34)*AZ34)+IF(BD34="Yes",(((AI34+(IF(R34="IN-07",'Assumptions &amp; Inputs'!$C$65,AF34))*AL34)*AS34)+AW34)*VLOOKUP("IN-34",'Assumptions &amp; Inputs'!$A$31:$F$69,3,FALSE),0),0)</f>
        <v>10634.4</v>
      </c>
      <c r="CB34" s="4">
        <f>IF(BQ34=1,((AJ34+(IF(R34="IN-07",'Assumptions &amp; Inputs'!$D$65,AG34))*AM34)*AS34)+AX34+(((AJ34+(IF(R34="IN-07",'Assumptions &amp; Inputs'!$D$65,AG34))*AM34)*AS34)*AZ34)+IF(BD34="Yes",(((AJ34+(IF(R34="IN-07",'Assumptions &amp; Inputs'!$D$65,AG34))*AM34)*AS34)+AX34)*VLOOKUP("IN-34",'Assumptions &amp; Inputs'!$A$31:$F$69,4,FALSE),0),0)</f>
        <v>20907.399999999998</v>
      </c>
      <c r="CC34" s="4">
        <f>IF(BQ34=1,((AK34+(IF(R34="IN-07",'Assumptions &amp; Inputs'!$E$65,AH34))*AN34)*AS34)+AY34+(((AK34+(IF(R34="IN-07",'Assumptions &amp; Inputs'!$E$65,AH34))*AN34)*AS34)*AZ34)+IF(BD34="Yes",(((AK34+(IF(R34="IN-07",'Assumptions &amp; Inputs'!$E$65,AH34))*AN34)*AS34)+AY34)*VLOOKUP("IN-34",'Assumptions &amp; Inputs'!$A$31:$F$69,5,FALSE),0),0)</f>
        <v>58557</v>
      </c>
      <c r="CD34" s="4">
        <f>IF(BR34=1,((AI34+(IF(R34="IN-07",'Assumptions &amp; Inputs'!$C$65,AF34))*AL34)*AS34)+AW34+(((AI34+(IF(R34="IN-07",'Assumptions &amp; Inputs'!$C$65,AF34))*AL34)*AS34)*AZ34)+IF(BD34="Yes",(((AI34+(IF(R34="IN-07",'Assumptions &amp; Inputs'!$C$65,AF34))*AL34)*AS34)+AW34)*VLOOKUP("IN-34",'Assumptions &amp; Inputs'!$A$31:$F$69,3,FALSE),0),0)</f>
        <v>10634.4</v>
      </c>
      <c r="CE34" s="4">
        <f>IF(BR34=1,((AJ34+(IF(R34="IN-07",'Assumptions &amp; Inputs'!$D$65,AG34))*AM34)*AS34)+AX34+(((AJ34+(IF(R34="IN-07",'Assumptions &amp; Inputs'!$D$65,AG34))*AM34)*AS34)*AZ34)+IF(BD34="Yes",(((AJ34+(IF(R34="IN-07",'Assumptions &amp; Inputs'!$D$65,AG34))*AM34)*AS34)+AX34)*VLOOKUP("IN-34",'Assumptions &amp; Inputs'!$A$31:$F$69,4,FALSE),0),0)</f>
        <v>20907.399999999998</v>
      </c>
      <c r="CF34" s="4">
        <f>IF(BR34=1,((AK34+(IF(R34="IN-07",'Assumptions &amp; Inputs'!$E$65,AH34))*AN34)*AS34)+AY34+(((AK34+(IF(R34="IN-07",'Assumptions &amp; Inputs'!$E$65,AH34))*AN34)*AS34)*AZ34)+IF(BD34="Yes",(((AK34+(IF(R34="IN-07",'Assumptions &amp; Inputs'!$E$65,AH34))*AN34)*AS34)+AY34)*VLOOKUP("IN-34",'Assumptions &amp; Inputs'!$A$31:$F$69,5,FALSE),0),0)</f>
        <v>58557</v>
      </c>
      <c r="CG34" s="4">
        <f>IF(BS34=1,((AI34+(IF(R34="IN-07",0,AF34))*AL34)*AS34)+AW34+(((AI34+(IF(R34="IN-07",0,AF34))*AL34)*AS34)*AZ34)+IF(BD34="Yes",(((AI34+(IF(R34="IN-07",0,AF34))*AL34)*AS34)+AW34)*VLOOKUP("IN-34",'Assumptions &amp; Inputs'!$A$31:$F$69,3,FALSE),0),0)</f>
        <v>0</v>
      </c>
      <c r="CH34" s="4">
        <f>IF(BS34=1,((AJ34+(IF(R34="IN-07",0,AG34))*AM34)*AS34)+AX34+(((AJ34+(IF(R34="IN-07",0,AG34))*AM34)*AS34)*AZ34)+IF(BD34="Yes",(((AJ34+(IF(R34="IN-07",0,AG34))*AM34)*AS34)+AX34)*VLOOKUP("IN-34",'Assumptions &amp; Inputs'!$A$31:$F$69,4,FALSE),0),0)</f>
        <v>0</v>
      </c>
      <c r="CI34" s="4">
        <f>IF(BS34=1,((AK34+(IF(R34="IN-07",0,AH34))*AN34)*AS34)+AY34+(((AK34+(IF(R34="IN-07",0,AH34))*AN34)*AS34)*AZ34)+IF(BD34="Yes",(((AK34+(IF(R34="IN-07",0,AH34))*AN34)*AS34)+AY34)*VLOOKUP("IN-34",'Assumptions &amp; Inputs'!$A$31:$F$69,5,FALSE),0),0)</f>
        <v>0</v>
      </c>
      <c r="CJ34" s="4">
        <f>IF(BT34=1,((AI34+(IF(R34="IN-07",0,AF34))*AL34)*AS34)+AW34+(((AI34+(IF(R34="IN-07",0,AF34))*AL34)*AS34)*AZ34)+IF(BD34="Yes",(((AI34+(IF(R34="IN-07",0,AF34))*AL34)*AS34)+AW34)*VLOOKUP("IN-34",'Assumptions &amp; Inputs'!$A$31:$F$69,3,FALSE),0),0)</f>
        <v>0</v>
      </c>
      <c r="CK34" s="4">
        <f>IF(BT34=1,((AJ34+(IF(R34="IN-07",0,AG34))*AM34)*AS34)+AX34+(((AJ34+(IF(R34="IN-07",0,AG34))*AM34)*AS34)*AZ34)+IF(BD34="Yes",(((AJ34+(IF(R34="IN-07",0,AG34))*AM34)*AS34)+AX34)*VLOOKUP("IN-34",'Assumptions &amp; Inputs'!$A$31:$F$69,4,FALSE),0),0)</f>
        <v>0</v>
      </c>
      <c r="CL34" s="4">
        <f>IF(BT34=1,((AK34+(IF(R34="IN-07",0,AH34))*AN34)*AS34)+AY34+(((AK34+(IF(R34="IN-07",0,AH34))*AN34)*AS34)*AZ34)+IF(BD34="Yes",(((AK34+(IF(R34="IN-07",0,AH34))*AN34)*AS34)+AY34)*VLOOKUP("IN-34",'Assumptions &amp; Inputs'!$A$31:$F$69,5,FALSE),0),0)</f>
        <v>0</v>
      </c>
    </row>
    <row r="35" spans="1:90" ht="43.5" x14ac:dyDescent="0.35">
      <c r="A35" s="2" t="s">
        <v>940</v>
      </c>
      <c r="B35" s="2" t="s">
        <v>941</v>
      </c>
      <c r="C35" s="2" t="s">
        <v>48</v>
      </c>
      <c r="D35" s="2" t="s">
        <v>55</v>
      </c>
      <c r="E35" s="2" t="s">
        <v>942</v>
      </c>
      <c r="F35" s="2" t="s">
        <v>943</v>
      </c>
      <c r="G35" s="2" t="s">
        <v>944</v>
      </c>
      <c r="H35" s="2" t="s">
        <v>945</v>
      </c>
      <c r="I35" s="2" t="s">
        <v>810</v>
      </c>
      <c r="J35" s="2" t="s">
        <v>946</v>
      </c>
      <c r="K35" s="2" t="s">
        <v>875</v>
      </c>
      <c r="L35" s="2" t="s">
        <v>810</v>
      </c>
      <c r="M35" s="2" t="s">
        <v>532</v>
      </c>
      <c r="N35" s="2" t="s">
        <v>180</v>
      </c>
      <c r="O35" s="2" t="s">
        <v>813</v>
      </c>
      <c r="P35" s="2" t="s">
        <v>876</v>
      </c>
      <c r="Q35" s="2" t="s">
        <v>862</v>
      </c>
      <c r="R35" s="2" t="s">
        <v>306</v>
      </c>
      <c r="S35" s="2" t="s">
        <v>877</v>
      </c>
      <c r="T35" s="2" t="s">
        <v>878</v>
      </c>
      <c r="U35" s="2" t="s">
        <v>947</v>
      </c>
      <c r="V35" s="2" t="s">
        <v>815</v>
      </c>
      <c r="W35" s="2" t="s">
        <v>948</v>
      </c>
      <c r="X35" s="2" t="s">
        <v>647</v>
      </c>
      <c r="Y35" s="2" t="s">
        <v>949</v>
      </c>
      <c r="Z35" s="2" t="s">
        <v>601</v>
      </c>
      <c r="AA35" s="2" t="s">
        <v>853</v>
      </c>
      <c r="AB35" s="2" t="s">
        <v>36</v>
      </c>
      <c r="AC35" s="2" t="s">
        <v>950</v>
      </c>
      <c r="AD35" s="2" t="s">
        <v>722</v>
      </c>
      <c r="AE35" s="18">
        <f>IF(ISNUMBER(SEARCH('Scenario Definitions'!$C$5,N35)),1,0)</f>
        <v>1</v>
      </c>
      <c r="AF35" s="18">
        <f>IFERROR(VLOOKUP(R35,'Assumptions &amp; Inputs'!$A$31:$F$69,3,FALSE),0)</f>
        <v>3</v>
      </c>
      <c r="AG35" s="18">
        <f>IFERROR(VLOOKUP(R35,'Assumptions &amp; Inputs'!$A$31:$F$69,4,FALSE),0)</f>
        <v>5</v>
      </c>
      <c r="AH35" s="19">
        <f>IFERROR(VLOOKUP(R35,'Assumptions &amp; Inputs'!$A$31:$F$69,5,FALSE),0)</f>
        <v>8</v>
      </c>
      <c r="AI35" s="11">
        <v>60</v>
      </c>
      <c r="AJ35" s="11">
        <v>80</v>
      </c>
      <c r="AK35" s="11">
        <v>120</v>
      </c>
      <c r="AL35" s="11">
        <v>22.5</v>
      </c>
      <c r="AM35" s="11">
        <v>30</v>
      </c>
      <c r="AN35" s="11">
        <v>45</v>
      </c>
      <c r="AO35" s="37">
        <f t="shared" si="0"/>
        <v>127.5</v>
      </c>
      <c r="AP35" s="18">
        <f t="shared" si="1"/>
        <v>230</v>
      </c>
      <c r="AQ35" s="19">
        <f t="shared" si="2"/>
        <v>480</v>
      </c>
      <c r="AR35" s="58" t="s">
        <v>419</v>
      </c>
      <c r="AS35" s="33">
        <f>IFERROR(VLOOKUP(AR35,'Assumptions &amp; Inputs'!$A$73:$I$100,9,FALSE),0)</f>
        <v>120</v>
      </c>
      <c r="AT35" s="26">
        <f t="shared" si="3"/>
        <v>15300</v>
      </c>
      <c r="AU35" s="26">
        <f t="shared" si="4"/>
        <v>27600</v>
      </c>
      <c r="AV35" s="27">
        <f t="shared" si="5"/>
        <v>57600</v>
      </c>
      <c r="AW35" s="57">
        <v>10000</v>
      </c>
      <c r="AX35" s="57">
        <v>25000</v>
      </c>
      <c r="AY35" s="57">
        <v>75000</v>
      </c>
      <c r="AZ35" s="33">
        <f>IFERROR(VLOOKUP(C35,'Assumptions &amp; Inputs'!$A$104:$B$107,2,FALSE),0)</f>
        <v>0.35</v>
      </c>
      <c r="BA35" s="26">
        <f t="shared" si="6"/>
        <v>5355</v>
      </c>
      <c r="BB35" s="26">
        <f t="shared" si="7"/>
        <v>9660</v>
      </c>
      <c r="BC35" s="27">
        <f t="shared" si="8"/>
        <v>20160</v>
      </c>
      <c r="BD35" s="57" t="s">
        <v>209</v>
      </c>
      <c r="BE35" s="33">
        <f>IF(BD35="Yes",(AT35+AW35)*VLOOKUP("IN-34",'Assumptions &amp; Inputs'!$A$31:$F$69,3,FALSE),0)</f>
        <v>1265</v>
      </c>
      <c r="BF35" s="26">
        <f>IF(BD35="Yes",(AU35+AX35)*VLOOKUP("IN-34",'Assumptions &amp; Inputs'!$A$31:$F$69,4,FALSE),0)</f>
        <v>3945</v>
      </c>
      <c r="BG35" s="26">
        <f>IF(BD35="Yes",(AV35+AY35)*VLOOKUP("IN-34",'Assumptions &amp; Inputs'!$A$31:$F$69,5,FALSE),0)</f>
        <v>19890</v>
      </c>
      <c r="BH35" s="26">
        <f t="shared" si="9"/>
        <v>31920</v>
      </c>
      <c r="BI35" s="26">
        <f t="shared" si="10"/>
        <v>66205</v>
      </c>
      <c r="BJ35" s="27">
        <f t="shared" si="11"/>
        <v>172650</v>
      </c>
      <c r="BK35" s="58" t="s">
        <v>548</v>
      </c>
      <c r="BL35" s="58" t="s">
        <v>549</v>
      </c>
      <c r="BM35" s="58" t="s">
        <v>853</v>
      </c>
      <c r="BN35" s="58" t="s">
        <v>550</v>
      </c>
      <c r="BO35" s="5">
        <f t="shared" si="12"/>
        <v>1</v>
      </c>
      <c r="BP35" s="5">
        <f t="shared" si="13"/>
        <v>1</v>
      </c>
      <c r="BQ35" s="5">
        <f t="shared" si="14"/>
        <v>1</v>
      </c>
      <c r="BR35" s="5">
        <f t="shared" si="15"/>
        <v>1</v>
      </c>
      <c r="BS35" s="5">
        <f t="shared" si="16"/>
        <v>0</v>
      </c>
      <c r="BT35" s="5">
        <f t="shared" si="17"/>
        <v>0</v>
      </c>
      <c r="BU35" s="4">
        <f>IF(BO35=1,((AI35+(IF(R35="IN-07",'Assumptions &amp; Inputs'!$C$66,AF35))*AL35)*AS35)+AW35+(((AI35+(IF(R35="IN-07",'Assumptions &amp; Inputs'!$C$66,AF35))*AL35)*AS35)*AZ35)+IF(BD35="Yes",(((AI35+(IF(R35="IN-07",'Assumptions &amp; Inputs'!$C$66,AF35))*AL35)*AS35)+AW35)*VLOOKUP("IN-34",'Assumptions &amp; Inputs'!$A$31:$F$69,3,FALSE),0),0)</f>
        <v>31920</v>
      </c>
      <c r="BV35" s="4">
        <f>IF(BO35=1,((AJ35+(IF(R35="IN-07",'Assumptions &amp; Inputs'!$D$66,AG35))*AM35)*AS35)+AX35+(((AJ35+(IF(R35="IN-07",'Assumptions &amp; Inputs'!$D$66,AG35))*AM35)*AS35)*AZ35)+IF(BD35="Yes",(((AJ35+(IF(R35="IN-07",'Assumptions &amp; Inputs'!$D$66,AG35))*AM35)*AS35)+AX35)*VLOOKUP("IN-34",'Assumptions &amp; Inputs'!$A$31:$F$69,4,FALSE),0),0)</f>
        <v>66205</v>
      </c>
      <c r="BW35" s="4">
        <f>IF(BO35=1,((AK35+(IF(R35="IN-07",'Assumptions &amp; Inputs'!$E$66,AH35))*AN35)*AS35)+AY35+(((AK35+(IF(R35="IN-07",'Assumptions &amp; Inputs'!$E$66,AH35))*AN35)*AS35)*AZ35)+IF(BD35="Yes",(((AK35+(IF(R35="IN-07",'Assumptions &amp; Inputs'!$E$66,AH35))*AN35)*AS35)+AY35)*VLOOKUP("IN-34",'Assumptions &amp; Inputs'!$A$31:$F$69,5,FALSE),0),0)</f>
        <v>172650</v>
      </c>
      <c r="BX35" s="4">
        <f>IF(BP35=1,((AI35+(IF(R35="IN-07",'Assumptions &amp; Inputs'!$C$66,AF35))*AL35)*AS35)+AW35+(((AI35+(IF(R35="IN-07",'Assumptions &amp; Inputs'!$C$66,AF35))*AL35)*AS35)*AZ35)+IF(BD35="Yes",(((AI35+(IF(R35="IN-07",'Assumptions &amp; Inputs'!$C$66,AF35))*AL35)*AS35)+AW35)*VLOOKUP("IN-34",'Assumptions &amp; Inputs'!$A$31:$F$69,3,FALSE),0),0)</f>
        <v>31920</v>
      </c>
      <c r="BY35" s="4">
        <f>IF(BP35=1,((AJ35+(IF(R35="IN-07",'Assumptions &amp; Inputs'!$D$66,AG35))*AM35)*AS35)+AX35+(((AJ35+(IF(R35="IN-07",'Assumptions &amp; Inputs'!$D$66,AG35))*AM35)*AS35)*AZ35)+IF(BD35="Yes",(((AJ35+(IF(R35="IN-07",'Assumptions &amp; Inputs'!$D$66,AG35))*AM35)*AS35)+AX35)*VLOOKUP("IN-34",'Assumptions &amp; Inputs'!$A$31:$F$69,4,FALSE),0),0)</f>
        <v>66205</v>
      </c>
      <c r="BZ35" s="4">
        <f>IF(BP35=1,((AK35+(IF(R35="IN-07",'Assumptions &amp; Inputs'!$E$66,AH35))*AN35)*AS35)+AY35+(((AK35+(IF(R35="IN-07",'Assumptions &amp; Inputs'!$E$66,AH35))*AN35)*AS35)*AZ35)+IF(BD35="Yes",(((AK35+(IF(R35="IN-07",'Assumptions &amp; Inputs'!$E$66,AH35))*AN35)*AS35)+AY35)*VLOOKUP("IN-34",'Assumptions &amp; Inputs'!$A$31:$F$69,5,FALSE),0),0)</f>
        <v>172650</v>
      </c>
      <c r="CA35" s="4">
        <f>IF(BQ35=1,((AI35+(IF(R35="IN-07",'Assumptions &amp; Inputs'!$C$65,AF35))*AL35)*AS35)+AW35+(((AI35+(IF(R35="IN-07",'Assumptions &amp; Inputs'!$C$65,AF35))*AL35)*AS35)*AZ35)+IF(BD35="Yes",(((AI35+(IF(R35="IN-07",'Assumptions &amp; Inputs'!$C$65,AF35))*AL35)*AS35)+AW35)*VLOOKUP("IN-34",'Assumptions &amp; Inputs'!$A$31:$F$69,3,FALSE),0),0)</f>
        <v>31920</v>
      </c>
      <c r="CB35" s="4">
        <f>IF(BQ35=1,((AJ35+(IF(R35="IN-07",'Assumptions &amp; Inputs'!$D$65,AG35))*AM35)*AS35)+AX35+(((AJ35+(IF(R35="IN-07",'Assumptions &amp; Inputs'!$D$65,AG35))*AM35)*AS35)*AZ35)+IF(BD35="Yes",(((AJ35+(IF(R35="IN-07",'Assumptions &amp; Inputs'!$D$65,AG35))*AM35)*AS35)+AX35)*VLOOKUP("IN-34",'Assumptions &amp; Inputs'!$A$31:$F$69,4,FALSE),0),0)</f>
        <v>66205</v>
      </c>
      <c r="CC35" s="4">
        <f>IF(BQ35=1,((AK35+(IF(R35="IN-07",'Assumptions &amp; Inputs'!$E$65,AH35))*AN35)*AS35)+AY35+(((AK35+(IF(R35="IN-07",'Assumptions &amp; Inputs'!$E$65,AH35))*AN35)*AS35)*AZ35)+IF(BD35="Yes",(((AK35+(IF(R35="IN-07",'Assumptions &amp; Inputs'!$E$65,AH35))*AN35)*AS35)+AY35)*VLOOKUP("IN-34",'Assumptions &amp; Inputs'!$A$31:$F$69,5,FALSE),0),0)</f>
        <v>172650</v>
      </c>
      <c r="CD35" s="4">
        <f>IF(BR35=1,((AI35+(IF(R35="IN-07",'Assumptions &amp; Inputs'!$C$65,AF35))*AL35)*AS35)+AW35+(((AI35+(IF(R35="IN-07",'Assumptions &amp; Inputs'!$C$65,AF35))*AL35)*AS35)*AZ35)+IF(BD35="Yes",(((AI35+(IF(R35="IN-07",'Assumptions &amp; Inputs'!$C$65,AF35))*AL35)*AS35)+AW35)*VLOOKUP("IN-34",'Assumptions &amp; Inputs'!$A$31:$F$69,3,FALSE),0),0)</f>
        <v>31920</v>
      </c>
      <c r="CE35" s="4">
        <f>IF(BR35=1,((AJ35+(IF(R35="IN-07",'Assumptions &amp; Inputs'!$D$65,AG35))*AM35)*AS35)+AX35+(((AJ35+(IF(R35="IN-07",'Assumptions &amp; Inputs'!$D$65,AG35))*AM35)*AS35)*AZ35)+IF(BD35="Yes",(((AJ35+(IF(R35="IN-07",'Assumptions &amp; Inputs'!$D$65,AG35))*AM35)*AS35)+AX35)*VLOOKUP("IN-34",'Assumptions &amp; Inputs'!$A$31:$F$69,4,FALSE),0),0)</f>
        <v>66205</v>
      </c>
      <c r="CF35" s="4">
        <f>IF(BR35=1,((AK35+(IF(R35="IN-07",'Assumptions &amp; Inputs'!$E$65,AH35))*AN35)*AS35)+AY35+(((AK35+(IF(R35="IN-07",'Assumptions &amp; Inputs'!$E$65,AH35))*AN35)*AS35)*AZ35)+IF(BD35="Yes",(((AK35+(IF(R35="IN-07",'Assumptions &amp; Inputs'!$E$65,AH35))*AN35)*AS35)+AY35)*VLOOKUP("IN-34",'Assumptions &amp; Inputs'!$A$31:$F$69,5,FALSE),0),0)</f>
        <v>172650</v>
      </c>
      <c r="CG35" s="4">
        <f>IF(BS35=1,((AI35+(IF(R35="IN-07",0,AF35))*AL35)*AS35)+AW35+(((AI35+(IF(R35="IN-07",0,AF35))*AL35)*AS35)*AZ35)+IF(BD35="Yes",(((AI35+(IF(R35="IN-07",0,AF35))*AL35)*AS35)+AW35)*VLOOKUP("IN-34",'Assumptions &amp; Inputs'!$A$31:$F$69,3,FALSE),0),0)</f>
        <v>0</v>
      </c>
      <c r="CH35" s="4">
        <f>IF(BS35=1,((AJ35+(IF(R35="IN-07",0,AG35))*AM35)*AS35)+AX35+(((AJ35+(IF(R35="IN-07",0,AG35))*AM35)*AS35)*AZ35)+IF(BD35="Yes",(((AJ35+(IF(R35="IN-07",0,AG35))*AM35)*AS35)+AX35)*VLOOKUP("IN-34",'Assumptions &amp; Inputs'!$A$31:$F$69,4,FALSE),0),0)</f>
        <v>0</v>
      </c>
      <c r="CI35" s="4">
        <f>IF(BS35=1,((AK35+(IF(R35="IN-07",0,AH35))*AN35)*AS35)+AY35+(((AK35+(IF(R35="IN-07",0,AH35))*AN35)*AS35)*AZ35)+IF(BD35="Yes",(((AK35+(IF(R35="IN-07",0,AH35))*AN35)*AS35)+AY35)*VLOOKUP("IN-34",'Assumptions &amp; Inputs'!$A$31:$F$69,5,FALSE),0),0)</f>
        <v>0</v>
      </c>
      <c r="CJ35" s="4">
        <f>IF(BT35=1,((AI35+(IF(R35="IN-07",0,AF35))*AL35)*AS35)+AW35+(((AI35+(IF(R35="IN-07",0,AF35))*AL35)*AS35)*AZ35)+IF(BD35="Yes",(((AI35+(IF(R35="IN-07",0,AF35))*AL35)*AS35)+AW35)*VLOOKUP("IN-34",'Assumptions &amp; Inputs'!$A$31:$F$69,3,FALSE),0),0)</f>
        <v>0</v>
      </c>
      <c r="CK35" s="4">
        <f>IF(BT35=1,((AJ35+(IF(R35="IN-07",0,AG35))*AM35)*AS35)+AX35+(((AJ35+(IF(R35="IN-07",0,AG35))*AM35)*AS35)*AZ35)+IF(BD35="Yes",(((AJ35+(IF(R35="IN-07",0,AG35))*AM35)*AS35)+AX35)*VLOOKUP("IN-34",'Assumptions &amp; Inputs'!$A$31:$F$69,4,FALSE),0),0)</f>
        <v>0</v>
      </c>
      <c r="CL35" s="4">
        <f>IF(BT35=1,((AK35+(IF(R35="IN-07",0,AH35))*AN35)*AS35)+AY35+(((AK35+(IF(R35="IN-07",0,AH35))*AN35)*AS35)*AZ35)+IF(BD35="Yes",(((AK35+(IF(R35="IN-07",0,AH35))*AN35)*AS35)+AY35)*VLOOKUP("IN-34",'Assumptions &amp; Inputs'!$A$31:$F$69,5,FALSE),0),0)</f>
        <v>0</v>
      </c>
    </row>
    <row r="36" spans="1:90" ht="43.5" x14ac:dyDescent="0.35">
      <c r="A36" s="2" t="s">
        <v>951</v>
      </c>
      <c r="B36" s="2" t="s">
        <v>952</v>
      </c>
      <c r="C36" s="2" t="s">
        <v>48</v>
      </c>
      <c r="D36" s="2" t="s">
        <v>55</v>
      </c>
      <c r="E36" s="2" t="s">
        <v>953</v>
      </c>
      <c r="F36" s="2" t="s">
        <v>954</v>
      </c>
      <c r="G36" s="2" t="s">
        <v>955</v>
      </c>
      <c r="H36" s="2" t="s">
        <v>956</v>
      </c>
      <c r="I36" s="2" t="s">
        <v>810</v>
      </c>
      <c r="J36" s="2" t="s">
        <v>957</v>
      </c>
      <c r="K36" s="2" t="s">
        <v>958</v>
      </c>
      <c r="L36" s="2" t="s">
        <v>810</v>
      </c>
      <c r="M36" s="2" t="s">
        <v>532</v>
      </c>
      <c r="N36" s="2" t="s">
        <v>180</v>
      </c>
      <c r="O36" s="2" t="s">
        <v>813</v>
      </c>
      <c r="P36" s="2" t="s">
        <v>730</v>
      </c>
      <c r="Q36" s="2" t="s">
        <v>731</v>
      </c>
      <c r="R36" s="2" t="s">
        <v>329</v>
      </c>
      <c r="S36" s="2" t="s">
        <v>614</v>
      </c>
      <c r="T36" s="2" t="s">
        <v>959</v>
      </c>
      <c r="U36" s="2" t="s">
        <v>960</v>
      </c>
      <c r="V36" s="2" t="s">
        <v>815</v>
      </c>
      <c r="W36" s="2" t="s">
        <v>961</v>
      </c>
      <c r="X36" s="2" t="s">
        <v>729</v>
      </c>
      <c r="Y36" s="2" t="s">
        <v>962</v>
      </c>
      <c r="Z36" s="2" t="s">
        <v>601</v>
      </c>
      <c r="AA36" s="2" t="s">
        <v>734</v>
      </c>
      <c r="AB36" s="2" t="s">
        <v>36</v>
      </c>
      <c r="AC36" s="2" t="s">
        <v>735</v>
      </c>
      <c r="AD36" s="2" t="s">
        <v>736</v>
      </c>
      <c r="AE36" s="18">
        <f>IF(ISNUMBER(SEARCH('Scenario Definitions'!$C$5,N36)),1,0)</f>
        <v>1</v>
      </c>
      <c r="AF36" s="18">
        <f>IFERROR(VLOOKUP(R36,'Assumptions &amp; Inputs'!$A$31:$F$69,3,FALSE),0)</f>
        <v>1</v>
      </c>
      <c r="AG36" s="18">
        <f>IFERROR(VLOOKUP(R36,'Assumptions &amp; Inputs'!$A$31:$F$69,4,FALSE),0)</f>
        <v>1</v>
      </c>
      <c r="AH36" s="19">
        <f>IFERROR(VLOOKUP(R36,'Assumptions &amp; Inputs'!$A$31:$F$69,5,FALSE),0)</f>
        <v>2</v>
      </c>
      <c r="AI36" s="11">
        <v>120</v>
      </c>
      <c r="AJ36" s="11">
        <v>160</v>
      </c>
      <c r="AK36" s="11">
        <v>240</v>
      </c>
      <c r="AL36" s="11">
        <v>0</v>
      </c>
      <c r="AM36" s="11">
        <v>0</v>
      </c>
      <c r="AN36" s="11">
        <v>0</v>
      </c>
      <c r="AO36" s="37">
        <f t="shared" si="0"/>
        <v>120</v>
      </c>
      <c r="AP36" s="18">
        <f t="shared" si="1"/>
        <v>160</v>
      </c>
      <c r="AQ36" s="19">
        <f t="shared" si="2"/>
        <v>240</v>
      </c>
      <c r="AR36" s="58" t="s">
        <v>418</v>
      </c>
      <c r="AS36" s="33">
        <f>IFERROR(VLOOKUP(AR36,'Assumptions &amp; Inputs'!$A$73:$I$100,9,FALSE),0)</f>
        <v>165</v>
      </c>
      <c r="AT36" s="26">
        <f t="shared" si="3"/>
        <v>19800</v>
      </c>
      <c r="AU36" s="26">
        <f t="shared" si="4"/>
        <v>26400</v>
      </c>
      <c r="AV36" s="27">
        <f t="shared" si="5"/>
        <v>39600</v>
      </c>
      <c r="AW36" s="57">
        <v>10000</v>
      </c>
      <c r="AX36" s="57">
        <v>30000</v>
      </c>
      <c r="AY36" s="57">
        <v>90000</v>
      </c>
      <c r="AZ36" s="33">
        <f>IFERROR(VLOOKUP(C36,'Assumptions &amp; Inputs'!$A$104:$B$107,2,FALSE),0)</f>
        <v>0.35</v>
      </c>
      <c r="BA36" s="26">
        <f t="shared" si="6"/>
        <v>6930</v>
      </c>
      <c r="BB36" s="26">
        <f t="shared" si="7"/>
        <v>9240</v>
      </c>
      <c r="BC36" s="27">
        <f t="shared" si="8"/>
        <v>13860</v>
      </c>
      <c r="BD36" s="57" t="s">
        <v>209</v>
      </c>
      <c r="BE36" s="33">
        <f>IF(BD36="Yes",(AT36+AW36)*VLOOKUP("IN-34",'Assumptions &amp; Inputs'!$A$31:$F$69,3,FALSE),0)</f>
        <v>1490</v>
      </c>
      <c r="BF36" s="26">
        <f>IF(BD36="Yes",(AU36+AX36)*VLOOKUP("IN-34",'Assumptions &amp; Inputs'!$A$31:$F$69,4,FALSE),0)</f>
        <v>4230</v>
      </c>
      <c r="BG36" s="26">
        <f>IF(BD36="Yes",(AV36+AY36)*VLOOKUP("IN-34",'Assumptions &amp; Inputs'!$A$31:$F$69,5,FALSE),0)</f>
        <v>19440</v>
      </c>
      <c r="BH36" s="26">
        <f t="shared" si="9"/>
        <v>38220</v>
      </c>
      <c r="BI36" s="26">
        <f t="shared" si="10"/>
        <v>69870</v>
      </c>
      <c r="BJ36" s="27">
        <f t="shared" si="11"/>
        <v>162900</v>
      </c>
      <c r="BK36" s="58" t="s">
        <v>548</v>
      </c>
      <c r="BL36" s="58" t="s">
        <v>549</v>
      </c>
      <c r="BM36" s="58" t="s">
        <v>734</v>
      </c>
      <c r="BN36" s="58" t="s">
        <v>550</v>
      </c>
      <c r="BO36" s="5">
        <f t="shared" si="12"/>
        <v>1</v>
      </c>
      <c r="BP36" s="5">
        <f t="shared" si="13"/>
        <v>1</v>
      </c>
      <c r="BQ36" s="5">
        <f t="shared" si="14"/>
        <v>1</v>
      </c>
      <c r="BR36" s="5">
        <f t="shared" si="15"/>
        <v>1</v>
      </c>
      <c r="BS36" s="5">
        <f t="shared" si="16"/>
        <v>0</v>
      </c>
      <c r="BT36" s="5">
        <f t="shared" si="17"/>
        <v>0</v>
      </c>
      <c r="BU36" s="4">
        <f>IF(BO36=1,((AI36+(IF(R36="IN-07",'Assumptions &amp; Inputs'!$C$66,AF36))*AL36)*AS36)+AW36+(((AI36+(IF(R36="IN-07",'Assumptions &amp; Inputs'!$C$66,AF36))*AL36)*AS36)*AZ36)+IF(BD36="Yes",(((AI36+(IF(R36="IN-07",'Assumptions &amp; Inputs'!$C$66,AF36))*AL36)*AS36)+AW36)*VLOOKUP("IN-34",'Assumptions &amp; Inputs'!$A$31:$F$69,3,FALSE),0),0)</f>
        <v>38220</v>
      </c>
      <c r="BV36" s="4">
        <f>IF(BO36=1,((AJ36+(IF(R36="IN-07",'Assumptions &amp; Inputs'!$D$66,AG36))*AM36)*AS36)+AX36+(((AJ36+(IF(R36="IN-07",'Assumptions &amp; Inputs'!$D$66,AG36))*AM36)*AS36)*AZ36)+IF(BD36="Yes",(((AJ36+(IF(R36="IN-07",'Assumptions &amp; Inputs'!$D$66,AG36))*AM36)*AS36)+AX36)*VLOOKUP("IN-34",'Assumptions &amp; Inputs'!$A$31:$F$69,4,FALSE),0),0)</f>
        <v>69870</v>
      </c>
      <c r="BW36" s="4">
        <f>IF(BO36=1,((AK36+(IF(R36="IN-07",'Assumptions &amp; Inputs'!$E$66,AH36))*AN36)*AS36)+AY36+(((AK36+(IF(R36="IN-07",'Assumptions &amp; Inputs'!$E$66,AH36))*AN36)*AS36)*AZ36)+IF(BD36="Yes",(((AK36+(IF(R36="IN-07",'Assumptions &amp; Inputs'!$E$66,AH36))*AN36)*AS36)+AY36)*VLOOKUP("IN-34",'Assumptions &amp; Inputs'!$A$31:$F$69,5,FALSE),0),0)</f>
        <v>162900</v>
      </c>
      <c r="BX36" s="4">
        <f>IF(BP36=1,((AI36+(IF(R36="IN-07",'Assumptions &amp; Inputs'!$C$66,AF36))*AL36)*AS36)+AW36+(((AI36+(IF(R36="IN-07",'Assumptions &amp; Inputs'!$C$66,AF36))*AL36)*AS36)*AZ36)+IF(BD36="Yes",(((AI36+(IF(R36="IN-07",'Assumptions &amp; Inputs'!$C$66,AF36))*AL36)*AS36)+AW36)*VLOOKUP("IN-34",'Assumptions &amp; Inputs'!$A$31:$F$69,3,FALSE),0),0)</f>
        <v>38220</v>
      </c>
      <c r="BY36" s="4">
        <f>IF(BP36=1,((AJ36+(IF(R36="IN-07",'Assumptions &amp; Inputs'!$D$66,AG36))*AM36)*AS36)+AX36+(((AJ36+(IF(R36="IN-07",'Assumptions &amp; Inputs'!$D$66,AG36))*AM36)*AS36)*AZ36)+IF(BD36="Yes",(((AJ36+(IF(R36="IN-07",'Assumptions &amp; Inputs'!$D$66,AG36))*AM36)*AS36)+AX36)*VLOOKUP("IN-34",'Assumptions &amp; Inputs'!$A$31:$F$69,4,FALSE),0),0)</f>
        <v>69870</v>
      </c>
      <c r="BZ36" s="4">
        <f>IF(BP36=1,((AK36+(IF(R36="IN-07",'Assumptions &amp; Inputs'!$E$66,AH36))*AN36)*AS36)+AY36+(((AK36+(IF(R36="IN-07",'Assumptions &amp; Inputs'!$E$66,AH36))*AN36)*AS36)*AZ36)+IF(BD36="Yes",(((AK36+(IF(R36="IN-07",'Assumptions &amp; Inputs'!$E$66,AH36))*AN36)*AS36)+AY36)*VLOOKUP("IN-34",'Assumptions &amp; Inputs'!$A$31:$F$69,5,FALSE),0),0)</f>
        <v>162900</v>
      </c>
      <c r="CA36" s="4">
        <f>IF(BQ36=1,((AI36+(IF(R36="IN-07",'Assumptions &amp; Inputs'!$C$65,AF36))*AL36)*AS36)+AW36+(((AI36+(IF(R36="IN-07",'Assumptions &amp; Inputs'!$C$65,AF36))*AL36)*AS36)*AZ36)+IF(BD36="Yes",(((AI36+(IF(R36="IN-07",'Assumptions &amp; Inputs'!$C$65,AF36))*AL36)*AS36)+AW36)*VLOOKUP("IN-34",'Assumptions &amp; Inputs'!$A$31:$F$69,3,FALSE),0),0)</f>
        <v>38220</v>
      </c>
      <c r="CB36" s="4">
        <f>IF(BQ36=1,((AJ36+(IF(R36="IN-07",'Assumptions &amp; Inputs'!$D$65,AG36))*AM36)*AS36)+AX36+(((AJ36+(IF(R36="IN-07",'Assumptions &amp; Inputs'!$D$65,AG36))*AM36)*AS36)*AZ36)+IF(BD36="Yes",(((AJ36+(IF(R36="IN-07",'Assumptions &amp; Inputs'!$D$65,AG36))*AM36)*AS36)+AX36)*VLOOKUP("IN-34",'Assumptions &amp; Inputs'!$A$31:$F$69,4,FALSE),0),0)</f>
        <v>69870</v>
      </c>
      <c r="CC36" s="4">
        <f>IF(BQ36=1,((AK36+(IF(R36="IN-07",'Assumptions &amp; Inputs'!$E$65,AH36))*AN36)*AS36)+AY36+(((AK36+(IF(R36="IN-07",'Assumptions &amp; Inputs'!$E$65,AH36))*AN36)*AS36)*AZ36)+IF(BD36="Yes",(((AK36+(IF(R36="IN-07",'Assumptions &amp; Inputs'!$E$65,AH36))*AN36)*AS36)+AY36)*VLOOKUP("IN-34",'Assumptions &amp; Inputs'!$A$31:$F$69,5,FALSE),0),0)</f>
        <v>162900</v>
      </c>
      <c r="CD36" s="4">
        <f>IF(BR36=1,((AI36+(IF(R36="IN-07",'Assumptions &amp; Inputs'!$C$65,AF36))*AL36)*AS36)+AW36+(((AI36+(IF(R36="IN-07",'Assumptions &amp; Inputs'!$C$65,AF36))*AL36)*AS36)*AZ36)+IF(BD36="Yes",(((AI36+(IF(R36="IN-07",'Assumptions &amp; Inputs'!$C$65,AF36))*AL36)*AS36)+AW36)*VLOOKUP("IN-34",'Assumptions &amp; Inputs'!$A$31:$F$69,3,FALSE),0),0)</f>
        <v>38220</v>
      </c>
      <c r="CE36" s="4">
        <f>IF(BR36=1,((AJ36+(IF(R36="IN-07",'Assumptions &amp; Inputs'!$D$65,AG36))*AM36)*AS36)+AX36+(((AJ36+(IF(R36="IN-07",'Assumptions &amp; Inputs'!$D$65,AG36))*AM36)*AS36)*AZ36)+IF(BD36="Yes",(((AJ36+(IF(R36="IN-07",'Assumptions &amp; Inputs'!$D$65,AG36))*AM36)*AS36)+AX36)*VLOOKUP("IN-34",'Assumptions &amp; Inputs'!$A$31:$F$69,4,FALSE),0),0)</f>
        <v>69870</v>
      </c>
      <c r="CF36" s="4">
        <f>IF(BR36=1,((AK36+(IF(R36="IN-07",'Assumptions &amp; Inputs'!$E$65,AH36))*AN36)*AS36)+AY36+(((AK36+(IF(R36="IN-07",'Assumptions &amp; Inputs'!$E$65,AH36))*AN36)*AS36)*AZ36)+IF(BD36="Yes",(((AK36+(IF(R36="IN-07",'Assumptions &amp; Inputs'!$E$65,AH36))*AN36)*AS36)+AY36)*VLOOKUP("IN-34",'Assumptions &amp; Inputs'!$A$31:$F$69,5,FALSE),0),0)</f>
        <v>162900</v>
      </c>
      <c r="CG36" s="4">
        <f>IF(BS36=1,((AI36+(IF(R36="IN-07",0,AF36))*AL36)*AS36)+AW36+(((AI36+(IF(R36="IN-07",0,AF36))*AL36)*AS36)*AZ36)+IF(BD36="Yes",(((AI36+(IF(R36="IN-07",0,AF36))*AL36)*AS36)+AW36)*VLOOKUP("IN-34",'Assumptions &amp; Inputs'!$A$31:$F$69,3,FALSE),0),0)</f>
        <v>0</v>
      </c>
      <c r="CH36" s="4">
        <f>IF(BS36=1,((AJ36+(IF(R36="IN-07",0,AG36))*AM36)*AS36)+AX36+(((AJ36+(IF(R36="IN-07",0,AG36))*AM36)*AS36)*AZ36)+IF(BD36="Yes",(((AJ36+(IF(R36="IN-07",0,AG36))*AM36)*AS36)+AX36)*VLOOKUP("IN-34",'Assumptions &amp; Inputs'!$A$31:$F$69,4,FALSE),0),0)</f>
        <v>0</v>
      </c>
      <c r="CI36" s="4">
        <f>IF(BS36=1,((AK36+(IF(R36="IN-07",0,AH36))*AN36)*AS36)+AY36+(((AK36+(IF(R36="IN-07",0,AH36))*AN36)*AS36)*AZ36)+IF(BD36="Yes",(((AK36+(IF(R36="IN-07",0,AH36))*AN36)*AS36)+AY36)*VLOOKUP("IN-34",'Assumptions &amp; Inputs'!$A$31:$F$69,5,FALSE),0),0)</f>
        <v>0</v>
      </c>
      <c r="CJ36" s="4">
        <f>IF(BT36=1,((AI36+(IF(R36="IN-07",0,AF36))*AL36)*AS36)+AW36+(((AI36+(IF(R36="IN-07",0,AF36))*AL36)*AS36)*AZ36)+IF(BD36="Yes",(((AI36+(IF(R36="IN-07",0,AF36))*AL36)*AS36)+AW36)*VLOOKUP("IN-34",'Assumptions &amp; Inputs'!$A$31:$F$69,3,FALSE),0),0)</f>
        <v>0</v>
      </c>
      <c r="CK36" s="4">
        <f>IF(BT36=1,((AJ36+(IF(R36="IN-07",0,AG36))*AM36)*AS36)+AX36+(((AJ36+(IF(R36="IN-07",0,AG36))*AM36)*AS36)*AZ36)+IF(BD36="Yes",(((AJ36+(IF(R36="IN-07",0,AG36))*AM36)*AS36)+AX36)*VLOOKUP("IN-34",'Assumptions &amp; Inputs'!$A$31:$F$69,4,FALSE),0),0)</f>
        <v>0</v>
      </c>
      <c r="CL36" s="4">
        <f>IF(BT36=1,((AK36+(IF(R36="IN-07",0,AH36))*AN36)*AS36)+AY36+(((AK36+(IF(R36="IN-07",0,AH36))*AN36)*AS36)*AZ36)+IF(BD36="Yes",(((AK36+(IF(R36="IN-07",0,AH36))*AN36)*AS36)+AY36)*VLOOKUP("IN-34",'Assumptions &amp; Inputs'!$A$31:$F$69,5,FALSE),0),0)</f>
        <v>0</v>
      </c>
    </row>
    <row r="37" spans="1:90" ht="43.5" x14ac:dyDescent="0.35">
      <c r="A37" s="2" t="s">
        <v>963</v>
      </c>
      <c r="B37" s="2" t="s">
        <v>964</v>
      </c>
      <c r="C37" s="2" t="s">
        <v>48</v>
      </c>
      <c r="D37" s="2" t="s">
        <v>55</v>
      </c>
      <c r="E37" s="2" t="s">
        <v>965</v>
      </c>
      <c r="F37" s="2" t="s">
        <v>966</v>
      </c>
      <c r="G37" s="2" t="s">
        <v>967</v>
      </c>
      <c r="H37" s="2" t="s">
        <v>968</v>
      </c>
      <c r="I37" s="2" t="s">
        <v>810</v>
      </c>
      <c r="J37" s="2" t="s">
        <v>969</v>
      </c>
      <c r="K37" s="2" t="s">
        <v>970</v>
      </c>
      <c r="L37" s="2" t="s">
        <v>810</v>
      </c>
      <c r="M37" s="2" t="s">
        <v>532</v>
      </c>
      <c r="N37" s="2" t="s">
        <v>180</v>
      </c>
      <c r="O37" s="2" t="s">
        <v>813</v>
      </c>
      <c r="P37" s="2" t="s">
        <v>627</v>
      </c>
      <c r="Q37" s="2" t="s">
        <v>685</v>
      </c>
      <c r="R37" s="2" t="s">
        <v>316</v>
      </c>
      <c r="S37" s="2" t="s">
        <v>686</v>
      </c>
      <c r="T37" s="2" t="s">
        <v>901</v>
      </c>
      <c r="U37" s="2" t="s">
        <v>971</v>
      </c>
      <c r="V37" s="2" t="s">
        <v>815</v>
      </c>
      <c r="W37" s="2" t="s">
        <v>972</v>
      </c>
      <c r="X37" s="2" t="s">
        <v>690</v>
      </c>
      <c r="Y37" s="2" t="s">
        <v>973</v>
      </c>
      <c r="Z37" s="2" t="s">
        <v>601</v>
      </c>
      <c r="AA37" s="2" t="s">
        <v>692</v>
      </c>
      <c r="AB37" s="2" t="s">
        <v>36</v>
      </c>
      <c r="AC37" s="2" t="s">
        <v>974</v>
      </c>
      <c r="AD37" s="2" t="s">
        <v>906</v>
      </c>
      <c r="AE37" s="18">
        <f>IF(ISNUMBER(SEARCH('Scenario Definitions'!$C$5,N37)),1,0)</f>
        <v>1</v>
      </c>
      <c r="AF37" s="18">
        <f>IFERROR(VLOOKUP(R37,'Assumptions &amp; Inputs'!$A$31:$F$69,3,FALSE),0)</f>
        <v>1</v>
      </c>
      <c r="AG37" s="18">
        <f>IFERROR(VLOOKUP(R37,'Assumptions &amp; Inputs'!$A$31:$F$69,4,FALSE),0)</f>
        <v>1</v>
      </c>
      <c r="AH37" s="19">
        <f>IFERROR(VLOOKUP(R37,'Assumptions &amp; Inputs'!$A$31:$F$69,5,FALSE),0)</f>
        <v>1</v>
      </c>
      <c r="AI37" s="11">
        <v>0</v>
      </c>
      <c r="AJ37" s="11">
        <v>0</v>
      </c>
      <c r="AK37" s="11">
        <v>0</v>
      </c>
      <c r="AL37" s="11">
        <v>40.5</v>
      </c>
      <c r="AM37" s="11">
        <v>54</v>
      </c>
      <c r="AN37" s="11">
        <v>81</v>
      </c>
      <c r="AO37" s="37">
        <f t="shared" ref="AO37:AO68" si="18">AI37+(AF37*AL37)</f>
        <v>40.5</v>
      </c>
      <c r="AP37" s="18">
        <f t="shared" ref="AP37:AP68" si="19">AJ37+(AG37*AM37)</f>
        <v>54</v>
      </c>
      <c r="AQ37" s="19">
        <f t="shared" ref="AQ37:AQ68" si="20">AK37+(AH37*AN37)</f>
        <v>81</v>
      </c>
      <c r="AR37" s="58" t="s">
        <v>418</v>
      </c>
      <c r="AS37" s="33">
        <f>IFERROR(VLOOKUP(AR37,'Assumptions &amp; Inputs'!$A$73:$I$100,9,FALSE),0)</f>
        <v>165</v>
      </c>
      <c r="AT37" s="26">
        <f t="shared" ref="AT37:AT68" si="21">AO37*AS37</f>
        <v>6682.5</v>
      </c>
      <c r="AU37" s="26">
        <f t="shared" ref="AU37:AU68" si="22">AP37*AS37</f>
        <v>8910</v>
      </c>
      <c r="AV37" s="27">
        <f t="shared" ref="AV37:AV68" si="23">AQ37*AS37</f>
        <v>13365</v>
      </c>
      <c r="AW37" s="57">
        <v>10000</v>
      </c>
      <c r="AX37" s="57">
        <v>25000</v>
      </c>
      <c r="AY37" s="57">
        <v>60000</v>
      </c>
      <c r="AZ37" s="33">
        <f>IFERROR(VLOOKUP(C37,'Assumptions &amp; Inputs'!$A$104:$B$107,2,FALSE),0)</f>
        <v>0.35</v>
      </c>
      <c r="BA37" s="26">
        <f t="shared" ref="BA37:BA68" si="24">AT37*AZ37</f>
        <v>2338.875</v>
      </c>
      <c r="BB37" s="26">
        <f t="shared" ref="BB37:BB68" si="25">AU37*AZ37</f>
        <v>3118.5</v>
      </c>
      <c r="BC37" s="27">
        <f t="shared" ref="BC37:BC68" si="26">AV37*AZ37</f>
        <v>4677.75</v>
      </c>
      <c r="BD37" s="57" t="s">
        <v>209</v>
      </c>
      <c r="BE37" s="33">
        <f>IF(BD37="Yes",(AT37+AW37)*VLOOKUP("IN-34",'Assumptions &amp; Inputs'!$A$31:$F$69,3,FALSE),0)</f>
        <v>834.125</v>
      </c>
      <c r="BF37" s="26">
        <f>IF(BD37="Yes",(AU37+AX37)*VLOOKUP("IN-34",'Assumptions &amp; Inputs'!$A$31:$F$69,4,FALSE),0)</f>
        <v>2543.25</v>
      </c>
      <c r="BG37" s="26">
        <f>IF(BD37="Yes",(AV37+AY37)*VLOOKUP("IN-34",'Assumptions &amp; Inputs'!$A$31:$F$69,5,FALSE),0)</f>
        <v>11004.75</v>
      </c>
      <c r="BH37" s="26">
        <f t="shared" ref="BH37:BH68" si="27">AT37+AW37+BA37+BE37</f>
        <v>19855.5</v>
      </c>
      <c r="BI37" s="26">
        <f t="shared" ref="BI37:BI68" si="28">AU37+AX37+BB37+BF37</f>
        <v>39571.75</v>
      </c>
      <c r="BJ37" s="27">
        <f t="shared" ref="BJ37:BJ68" si="29">AV37+AY37+BC37+BG37</f>
        <v>89047.5</v>
      </c>
      <c r="BK37" s="58" t="s">
        <v>548</v>
      </c>
      <c r="BL37" s="58" t="s">
        <v>549</v>
      </c>
      <c r="BM37" s="58" t="s">
        <v>692</v>
      </c>
      <c r="BN37" s="58" t="s">
        <v>550</v>
      </c>
      <c r="BO37" s="5">
        <f t="shared" ref="BO37:BO68" si="30">IF(ISNUMBER(SEARCH("1A",N37)),1,0)</f>
        <v>1</v>
      </c>
      <c r="BP37" s="5">
        <f t="shared" ref="BP37:BP68" si="31">IF(ISNUMBER(SEARCH("1B",N37)),1,0)</f>
        <v>1</v>
      </c>
      <c r="BQ37" s="5">
        <f t="shared" ref="BQ37:BQ68" si="32">IF(ISNUMBER(SEARCH("2A",N37)),1,0)</f>
        <v>1</v>
      </c>
      <c r="BR37" s="5">
        <f t="shared" ref="BR37:BR68" si="33">IF(ISNUMBER(SEARCH("2B",N37)),1,0)</f>
        <v>1</v>
      </c>
      <c r="BS37" s="5">
        <f t="shared" ref="BS37:BS68" si="34">IF(ISNUMBER(SEARCH("3A",N37)),1,0)</f>
        <v>0</v>
      </c>
      <c r="BT37" s="5">
        <f t="shared" ref="BT37:BT68" si="35">IF(ISNUMBER(SEARCH("3B",N37)),1,0)</f>
        <v>0</v>
      </c>
      <c r="BU37" s="4">
        <f>IF(BO37=1,((AI37+(IF(R37="IN-07",'Assumptions &amp; Inputs'!$C$66,AF37))*AL37)*AS37)+AW37+(((AI37+(IF(R37="IN-07",'Assumptions &amp; Inputs'!$C$66,AF37))*AL37)*AS37)*AZ37)+IF(BD37="Yes",(((AI37+(IF(R37="IN-07",'Assumptions &amp; Inputs'!$C$66,AF37))*AL37)*AS37)+AW37)*VLOOKUP("IN-34",'Assumptions &amp; Inputs'!$A$31:$F$69,3,FALSE),0),0)</f>
        <v>19855.5</v>
      </c>
      <c r="BV37" s="4">
        <f>IF(BO37=1,((AJ37+(IF(R37="IN-07",'Assumptions &amp; Inputs'!$D$66,AG37))*AM37)*AS37)+AX37+(((AJ37+(IF(R37="IN-07",'Assumptions &amp; Inputs'!$D$66,AG37))*AM37)*AS37)*AZ37)+IF(BD37="Yes",(((AJ37+(IF(R37="IN-07",'Assumptions &amp; Inputs'!$D$66,AG37))*AM37)*AS37)+AX37)*VLOOKUP("IN-34",'Assumptions &amp; Inputs'!$A$31:$F$69,4,FALSE),0),0)</f>
        <v>39571.75</v>
      </c>
      <c r="BW37" s="4">
        <f>IF(BO37=1,((AK37+(IF(R37="IN-07",'Assumptions &amp; Inputs'!$E$66,AH37))*AN37)*AS37)+AY37+(((AK37+(IF(R37="IN-07",'Assumptions &amp; Inputs'!$E$66,AH37))*AN37)*AS37)*AZ37)+IF(BD37="Yes",(((AK37+(IF(R37="IN-07",'Assumptions &amp; Inputs'!$E$66,AH37))*AN37)*AS37)+AY37)*VLOOKUP("IN-34",'Assumptions &amp; Inputs'!$A$31:$F$69,5,FALSE),0),0)</f>
        <v>89047.5</v>
      </c>
      <c r="BX37" s="4">
        <f>IF(BP37=1,((AI37+(IF(R37="IN-07",'Assumptions &amp; Inputs'!$C$66,AF37))*AL37)*AS37)+AW37+(((AI37+(IF(R37="IN-07",'Assumptions &amp; Inputs'!$C$66,AF37))*AL37)*AS37)*AZ37)+IF(BD37="Yes",(((AI37+(IF(R37="IN-07",'Assumptions &amp; Inputs'!$C$66,AF37))*AL37)*AS37)+AW37)*VLOOKUP("IN-34",'Assumptions &amp; Inputs'!$A$31:$F$69,3,FALSE),0),0)</f>
        <v>19855.5</v>
      </c>
      <c r="BY37" s="4">
        <f>IF(BP37=1,((AJ37+(IF(R37="IN-07",'Assumptions &amp; Inputs'!$D$66,AG37))*AM37)*AS37)+AX37+(((AJ37+(IF(R37="IN-07",'Assumptions &amp; Inputs'!$D$66,AG37))*AM37)*AS37)*AZ37)+IF(BD37="Yes",(((AJ37+(IF(R37="IN-07",'Assumptions &amp; Inputs'!$D$66,AG37))*AM37)*AS37)+AX37)*VLOOKUP("IN-34",'Assumptions &amp; Inputs'!$A$31:$F$69,4,FALSE),0),0)</f>
        <v>39571.75</v>
      </c>
      <c r="BZ37" s="4">
        <f>IF(BP37=1,((AK37+(IF(R37="IN-07",'Assumptions &amp; Inputs'!$E$66,AH37))*AN37)*AS37)+AY37+(((AK37+(IF(R37="IN-07",'Assumptions &amp; Inputs'!$E$66,AH37))*AN37)*AS37)*AZ37)+IF(BD37="Yes",(((AK37+(IF(R37="IN-07",'Assumptions &amp; Inputs'!$E$66,AH37))*AN37)*AS37)+AY37)*VLOOKUP("IN-34",'Assumptions &amp; Inputs'!$A$31:$F$69,5,FALSE),0),0)</f>
        <v>89047.5</v>
      </c>
      <c r="CA37" s="4">
        <f>IF(BQ37=1,((AI37+(IF(R37="IN-07",'Assumptions &amp; Inputs'!$C$65,AF37))*AL37)*AS37)+AW37+(((AI37+(IF(R37="IN-07",'Assumptions &amp; Inputs'!$C$65,AF37))*AL37)*AS37)*AZ37)+IF(BD37="Yes",(((AI37+(IF(R37="IN-07",'Assumptions &amp; Inputs'!$C$65,AF37))*AL37)*AS37)+AW37)*VLOOKUP("IN-34",'Assumptions &amp; Inputs'!$A$31:$F$69,3,FALSE),0),0)</f>
        <v>19855.5</v>
      </c>
      <c r="CB37" s="4">
        <f>IF(BQ37=1,((AJ37+(IF(R37="IN-07",'Assumptions &amp; Inputs'!$D$65,AG37))*AM37)*AS37)+AX37+(((AJ37+(IF(R37="IN-07",'Assumptions &amp; Inputs'!$D$65,AG37))*AM37)*AS37)*AZ37)+IF(BD37="Yes",(((AJ37+(IF(R37="IN-07",'Assumptions &amp; Inputs'!$D$65,AG37))*AM37)*AS37)+AX37)*VLOOKUP("IN-34",'Assumptions &amp; Inputs'!$A$31:$F$69,4,FALSE),0),0)</f>
        <v>39571.75</v>
      </c>
      <c r="CC37" s="4">
        <f>IF(BQ37=1,((AK37+(IF(R37="IN-07",'Assumptions &amp; Inputs'!$E$65,AH37))*AN37)*AS37)+AY37+(((AK37+(IF(R37="IN-07",'Assumptions &amp; Inputs'!$E$65,AH37))*AN37)*AS37)*AZ37)+IF(BD37="Yes",(((AK37+(IF(R37="IN-07",'Assumptions &amp; Inputs'!$E$65,AH37))*AN37)*AS37)+AY37)*VLOOKUP("IN-34",'Assumptions &amp; Inputs'!$A$31:$F$69,5,FALSE),0),0)</f>
        <v>89047.5</v>
      </c>
      <c r="CD37" s="4">
        <f>IF(BR37=1,((AI37+(IF(R37="IN-07",'Assumptions &amp; Inputs'!$C$65,AF37))*AL37)*AS37)+AW37+(((AI37+(IF(R37="IN-07",'Assumptions &amp; Inputs'!$C$65,AF37))*AL37)*AS37)*AZ37)+IF(BD37="Yes",(((AI37+(IF(R37="IN-07",'Assumptions &amp; Inputs'!$C$65,AF37))*AL37)*AS37)+AW37)*VLOOKUP("IN-34",'Assumptions &amp; Inputs'!$A$31:$F$69,3,FALSE),0),0)</f>
        <v>19855.5</v>
      </c>
      <c r="CE37" s="4">
        <f>IF(BR37=1,((AJ37+(IF(R37="IN-07",'Assumptions &amp; Inputs'!$D$65,AG37))*AM37)*AS37)+AX37+(((AJ37+(IF(R37="IN-07",'Assumptions &amp; Inputs'!$D$65,AG37))*AM37)*AS37)*AZ37)+IF(BD37="Yes",(((AJ37+(IF(R37="IN-07",'Assumptions &amp; Inputs'!$D$65,AG37))*AM37)*AS37)+AX37)*VLOOKUP("IN-34",'Assumptions &amp; Inputs'!$A$31:$F$69,4,FALSE),0),0)</f>
        <v>39571.75</v>
      </c>
      <c r="CF37" s="4">
        <f>IF(BR37=1,((AK37+(IF(R37="IN-07",'Assumptions &amp; Inputs'!$E$65,AH37))*AN37)*AS37)+AY37+(((AK37+(IF(R37="IN-07",'Assumptions &amp; Inputs'!$E$65,AH37))*AN37)*AS37)*AZ37)+IF(BD37="Yes",(((AK37+(IF(R37="IN-07",'Assumptions &amp; Inputs'!$E$65,AH37))*AN37)*AS37)+AY37)*VLOOKUP("IN-34",'Assumptions &amp; Inputs'!$A$31:$F$69,5,FALSE),0),0)</f>
        <v>89047.5</v>
      </c>
      <c r="CG37" s="4">
        <f>IF(BS37=1,((AI37+(IF(R37="IN-07",0,AF37))*AL37)*AS37)+AW37+(((AI37+(IF(R37="IN-07",0,AF37))*AL37)*AS37)*AZ37)+IF(BD37="Yes",(((AI37+(IF(R37="IN-07",0,AF37))*AL37)*AS37)+AW37)*VLOOKUP("IN-34",'Assumptions &amp; Inputs'!$A$31:$F$69,3,FALSE),0),0)</f>
        <v>0</v>
      </c>
      <c r="CH37" s="4">
        <f>IF(BS37=1,((AJ37+(IF(R37="IN-07",0,AG37))*AM37)*AS37)+AX37+(((AJ37+(IF(R37="IN-07",0,AG37))*AM37)*AS37)*AZ37)+IF(BD37="Yes",(((AJ37+(IF(R37="IN-07",0,AG37))*AM37)*AS37)+AX37)*VLOOKUP("IN-34",'Assumptions &amp; Inputs'!$A$31:$F$69,4,FALSE),0),0)</f>
        <v>0</v>
      </c>
      <c r="CI37" s="4">
        <f>IF(BS37=1,((AK37+(IF(R37="IN-07",0,AH37))*AN37)*AS37)+AY37+(((AK37+(IF(R37="IN-07",0,AH37))*AN37)*AS37)*AZ37)+IF(BD37="Yes",(((AK37+(IF(R37="IN-07",0,AH37))*AN37)*AS37)+AY37)*VLOOKUP("IN-34",'Assumptions &amp; Inputs'!$A$31:$F$69,5,FALSE),0),0)</f>
        <v>0</v>
      </c>
      <c r="CJ37" s="4">
        <f>IF(BT37=1,((AI37+(IF(R37="IN-07",0,AF37))*AL37)*AS37)+AW37+(((AI37+(IF(R37="IN-07",0,AF37))*AL37)*AS37)*AZ37)+IF(BD37="Yes",(((AI37+(IF(R37="IN-07",0,AF37))*AL37)*AS37)+AW37)*VLOOKUP("IN-34",'Assumptions &amp; Inputs'!$A$31:$F$69,3,FALSE),0),0)</f>
        <v>0</v>
      </c>
      <c r="CK37" s="4">
        <f>IF(BT37=1,((AJ37+(IF(R37="IN-07",0,AG37))*AM37)*AS37)+AX37+(((AJ37+(IF(R37="IN-07",0,AG37))*AM37)*AS37)*AZ37)+IF(BD37="Yes",(((AJ37+(IF(R37="IN-07",0,AG37))*AM37)*AS37)+AX37)*VLOOKUP("IN-34",'Assumptions &amp; Inputs'!$A$31:$F$69,4,FALSE),0),0)</f>
        <v>0</v>
      </c>
      <c r="CL37" s="4">
        <f>IF(BT37=1,((AK37+(IF(R37="IN-07",0,AH37))*AN37)*AS37)+AY37+(((AK37+(IF(R37="IN-07",0,AH37))*AN37)*AS37)*AZ37)+IF(BD37="Yes",(((AK37+(IF(R37="IN-07",0,AH37))*AN37)*AS37)+AY37)*VLOOKUP("IN-34",'Assumptions &amp; Inputs'!$A$31:$F$69,5,FALSE),0),0)</f>
        <v>0</v>
      </c>
    </row>
    <row r="38" spans="1:90" ht="43.5" x14ac:dyDescent="0.35">
      <c r="A38" s="2" t="s">
        <v>975</v>
      </c>
      <c r="B38" s="2" t="s">
        <v>976</v>
      </c>
      <c r="C38" s="2" t="s">
        <v>48</v>
      </c>
      <c r="D38" s="2" t="s">
        <v>56</v>
      </c>
      <c r="E38" s="2" t="s">
        <v>977</v>
      </c>
      <c r="F38" s="2" t="s">
        <v>978</v>
      </c>
      <c r="G38" s="2" t="s">
        <v>979</v>
      </c>
      <c r="H38" s="2" t="s">
        <v>980</v>
      </c>
      <c r="I38" s="2" t="s">
        <v>810</v>
      </c>
      <c r="J38" s="2" t="s">
        <v>981</v>
      </c>
      <c r="K38" s="2" t="s">
        <v>812</v>
      </c>
      <c r="L38" s="2" t="s">
        <v>810</v>
      </c>
      <c r="M38" s="2" t="s">
        <v>532</v>
      </c>
      <c r="N38" s="2" t="s">
        <v>180</v>
      </c>
      <c r="O38" s="2" t="s">
        <v>813</v>
      </c>
      <c r="P38" s="2" t="s">
        <v>876</v>
      </c>
      <c r="Q38" s="2" t="s">
        <v>862</v>
      </c>
      <c r="R38" s="2" t="s">
        <v>306</v>
      </c>
      <c r="S38" s="2" t="s">
        <v>877</v>
      </c>
      <c r="T38" s="2" t="s">
        <v>982</v>
      </c>
      <c r="U38" s="2" t="s">
        <v>983</v>
      </c>
      <c r="V38" s="2" t="s">
        <v>815</v>
      </c>
      <c r="W38" s="2" t="s">
        <v>984</v>
      </c>
      <c r="X38" s="2" t="s">
        <v>690</v>
      </c>
      <c r="Y38" s="2" t="s">
        <v>985</v>
      </c>
      <c r="Z38" s="2" t="s">
        <v>543</v>
      </c>
      <c r="AA38" s="2" t="s">
        <v>720</v>
      </c>
      <c r="AB38" s="2" t="s">
        <v>36</v>
      </c>
      <c r="AC38" s="2" t="s">
        <v>721</v>
      </c>
      <c r="AD38" s="2" t="s">
        <v>986</v>
      </c>
      <c r="AE38" s="18">
        <f>IF(ISNUMBER(SEARCH('Scenario Definitions'!$C$5,N38)),1,0)</f>
        <v>1</v>
      </c>
      <c r="AF38" s="18">
        <f>IFERROR(VLOOKUP(R38,'Assumptions &amp; Inputs'!$A$31:$F$69,3,FALSE),0)</f>
        <v>3</v>
      </c>
      <c r="AG38" s="18">
        <f>IFERROR(VLOOKUP(R38,'Assumptions &amp; Inputs'!$A$31:$F$69,4,FALSE),0)</f>
        <v>5</v>
      </c>
      <c r="AH38" s="19">
        <f>IFERROR(VLOOKUP(R38,'Assumptions &amp; Inputs'!$A$31:$F$69,5,FALSE),0)</f>
        <v>8</v>
      </c>
      <c r="AI38" s="11">
        <v>75</v>
      </c>
      <c r="AJ38" s="11">
        <v>100</v>
      </c>
      <c r="AK38" s="11">
        <v>150</v>
      </c>
      <c r="AL38" s="11">
        <v>18</v>
      </c>
      <c r="AM38" s="11">
        <v>24</v>
      </c>
      <c r="AN38" s="11">
        <v>36</v>
      </c>
      <c r="AO38" s="37">
        <f t="shared" si="18"/>
        <v>129</v>
      </c>
      <c r="AP38" s="18">
        <f t="shared" si="19"/>
        <v>220</v>
      </c>
      <c r="AQ38" s="19">
        <f t="shared" si="20"/>
        <v>438</v>
      </c>
      <c r="AR38" s="58" t="s">
        <v>419</v>
      </c>
      <c r="AS38" s="33">
        <f>IFERROR(VLOOKUP(AR38,'Assumptions &amp; Inputs'!$A$73:$I$100,9,FALSE),0)</f>
        <v>120</v>
      </c>
      <c r="AT38" s="26">
        <f t="shared" si="21"/>
        <v>15480</v>
      </c>
      <c r="AU38" s="26">
        <f t="shared" si="22"/>
        <v>26400</v>
      </c>
      <c r="AV38" s="27">
        <f t="shared" si="23"/>
        <v>52560</v>
      </c>
      <c r="AW38" s="57">
        <v>5000</v>
      </c>
      <c r="AX38" s="57">
        <v>15000</v>
      </c>
      <c r="AY38" s="57">
        <v>40000</v>
      </c>
      <c r="AZ38" s="33">
        <f>IFERROR(VLOOKUP(C38,'Assumptions &amp; Inputs'!$A$104:$B$107,2,FALSE),0)</f>
        <v>0.35</v>
      </c>
      <c r="BA38" s="26">
        <f t="shared" si="24"/>
        <v>5418</v>
      </c>
      <c r="BB38" s="26">
        <f t="shared" si="25"/>
        <v>9240</v>
      </c>
      <c r="BC38" s="27">
        <f t="shared" si="26"/>
        <v>18396</v>
      </c>
      <c r="BD38" s="57" t="s">
        <v>209</v>
      </c>
      <c r="BE38" s="33">
        <f>IF(BD38="Yes",(AT38+AW38)*VLOOKUP("IN-34",'Assumptions &amp; Inputs'!$A$31:$F$69,3,FALSE),0)</f>
        <v>1024</v>
      </c>
      <c r="BF38" s="26">
        <f>IF(BD38="Yes",(AU38+AX38)*VLOOKUP("IN-34",'Assumptions &amp; Inputs'!$A$31:$F$69,4,FALSE),0)</f>
        <v>3105</v>
      </c>
      <c r="BG38" s="26">
        <f>IF(BD38="Yes",(AV38+AY38)*VLOOKUP("IN-34",'Assumptions &amp; Inputs'!$A$31:$F$69,5,FALSE),0)</f>
        <v>13884</v>
      </c>
      <c r="BH38" s="26">
        <f t="shared" si="27"/>
        <v>26922</v>
      </c>
      <c r="BI38" s="26">
        <f t="shared" si="28"/>
        <v>53745</v>
      </c>
      <c r="BJ38" s="27">
        <f t="shared" si="29"/>
        <v>124840</v>
      </c>
      <c r="BK38" s="58" t="s">
        <v>548</v>
      </c>
      <c r="BL38" s="58" t="s">
        <v>549</v>
      </c>
      <c r="BM38" s="58" t="s">
        <v>720</v>
      </c>
      <c r="BN38" s="58" t="s">
        <v>550</v>
      </c>
      <c r="BO38" s="5">
        <f t="shared" si="30"/>
        <v>1</v>
      </c>
      <c r="BP38" s="5">
        <f t="shared" si="31"/>
        <v>1</v>
      </c>
      <c r="BQ38" s="5">
        <f t="shared" si="32"/>
        <v>1</v>
      </c>
      <c r="BR38" s="5">
        <f t="shared" si="33"/>
        <v>1</v>
      </c>
      <c r="BS38" s="5">
        <f t="shared" si="34"/>
        <v>0</v>
      </c>
      <c r="BT38" s="5">
        <f t="shared" si="35"/>
        <v>0</v>
      </c>
      <c r="BU38" s="4">
        <f>IF(BO38=1,((AI38+(IF(R38="IN-07",'Assumptions &amp; Inputs'!$C$66,AF38))*AL38)*AS38)+AW38+(((AI38+(IF(R38="IN-07",'Assumptions &amp; Inputs'!$C$66,AF38))*AL38)*AS38)*AZ38)+IF(BD38="Yes",(((AI38+(IF(R38="IN-07",'Assumptions &amp; Inputs'!$C$66,AF38))*AL38)*AS38)+AW38)*VLOOKUP("IN-34",'Assumptions &amp; Inputs'!$A$31:$F$69,3,FALSE),0),0)</f>
        <v>26922</v>
      </c>
      <c r="BV38" s="4">
        <f>IF(BO38=1,((AJ38+(IF(R38="IN-07",'Assumptions &amp; Inputs'!$D$66,AG38))*AM38)*AS38)+AX38+(((AJ38+(IF(R38="IN-07",'Assumptions &amp; Inputs'!$D$66,AG38))*AM38)*AS38)*AZ38)+IF(BD38="Yes",(((AJ38+(IF(R38="IN-07",'Assumptions &amp; Inputs'!$D$66,AG38))*AM38)*AS38)+AX38)*VLOOKUP("IN-34",'Assumptions &amp; Inputs'!$A$31:$F$69,4,FALSE),0),0)</f>
        <v>53745</v>
      </c>
      <c r="BW38" s="4">
        <f>IF(BO38=1,((AK38+(IF(R38="IN-07",'Assumptions &amp; Inputs'!$E$66,AH38))*AN38)*AS38)+AY38+(((AK38+(IF(R38="IN-07",'Assumptions &amp; Inputs'!$E$66,AH38))*AN38)*AS38)*AZ38)+IF(BD38="Yes",(((AK38+(IF(R38="IN-07",'Assumptions &amp; Inputs'!$E$66,AH38))*AN38)*AS38)+AY38)*VLOOKUP("IN-34",'Assumptions &amp; Inputs'!$A$31:$F$69,5,FALSE),0),0)</f>
        <v>124840</v>
      </c>
      <c r="BX38" s="4">
        <f>IF(BP38=1,((AI38+(IF(R38="IN-07",'Assumptions &amp; Inputs'!$C$66,AF38))*AL38)*AS38)+AW38+(((AI38+(IF(R38="IN-07",'Assumptions &amp; Inputs'!$C$66,AF38))*AL38)*AS38)*AZ38)+IF(BD38="Yes",(((AI38+(IF(R38="IN-07",'Assumptions &amp; Inputs'!$C$66,AF38))*AL38)*AS38)+AW38)*VLOOKUP("IN-34",'Assumptions &amp; Inputs'!$A$31:$F$69,3,FALSE),0),0)</f>
        <v>26922</v>
      </c>
      <c r="BY38" s="4">
        <f>IF(BP38=1,((AJ38+(IF(R38="IN-07",'Assumptions &amp; Inputs'!$D$66,AG38))*AM38)*AS38)+AX38+(((AJ38+(IF(R38="IN-07",'Assumptions &amp; Inputs'!$D$66,AG38))*AM38)*AS38)*AZ38)+IF(BD38="Yes",(((AJ38+(IF(R38="IN-07",'Assumptions &amp; Inputs'!$D$66,AG38))*AM38)*AS38)+AX38)*VLOOKUP("IN-34",'Assumptions &amp; Inputs'!$A$31:$F$69,4,FALSE),0),0)</f>
        <v>53745</v>
      </c>
      <c r="BZ38" s="4">
        <f>IF(BP38=1,((AK38+(IF(R38="IN-07",'Assumptions &amp; Inputs'!$E$66,AH38))*AN38)*AS38)+AY38+(((AK38+(IF(R38="IN-07",'Assumptions &amp; Inputs'!$E$66,AH38))*AN38)*AS38)*AZ38)+IF(BD38="Yes",(((AK38+(IF(R38="IN-07",'Assumptions &amp; Inputs'!$E$66,AH38))*AN38)*AS38)+AY38)*VLOOKUP("IN-34",'Assumptions &amp; Inputs'!$A$31:$F$69,5,FALSE),0),0)</f>
        <v>124840</v>
      </c>
      <c r="CA38" s="4">
        <f>IF(BQ38=1,((AI38+(IF(R38="IN-07",'Assumptions &amp; Inputs'!$C$65,AF38))*AL38)*AS38)+AW38+(((AI38+(IF(R38="IN-07",'Assumptions &amp; Inputs'!$C$65,AF38))*AL38)*AS38)*AZ38)+IF(BD38="Yes",(((AI38+(IF(R38="IN-07",'Assumptions &amp; Inputs'!$C$65,AF38))*AL38)*AS38)+AW38)*VLOOKUP("IN-34",'Assumptions &amp; Inputs'!$A$31:$F$69,3,FALSE),0),0)</f>
        <v>26922</v>
      </c>
      <c r="CB38" s="4">
        <f>IF(BQ38=1,((AJ38+(IF(R38="IN-07",'Assumptions &amp; Inputs'!$D$65,AG38))*AM38)*AS38)+AX38+(((AJ38+(IF(R38="IN-07",'Assumptions &amp; Inputs'!$D$65,AG38))*AM38)*AS38)*AZ38)+IF(BD38="Yes",(((AJ38+(IF(R38="IN-07",'Assumptions &amp; Inputs'!$D$65,AG38))*AM38)*AS38)+AX38)*VLOOKUP("IN-34",'Assumptions &amp; Inputs'!$A$31:$F$69,4,FALSE),0),0)</f>
        <v>53745</v>
      </c>
      <c r="CC38" s="4">
        <f>IF(BQ38=1,((AK38+(IF(R38="IN-07",'Assumptions &amp; Inputs'!$E$65,AH38))*AN38)*AS38)+AY38+(((AK38+(IF(R38="IN-07",'Assumptions &amp; Inputs'!$E$65,AH38))*AN38)*AS38)*AZ38)+IF(BD38="Yes",(((AK38+(IF(R38="IN-07",'Assumptions &amp; Inputs'!$E$65,AH38))*AN38)*AS38)+AY38)*VLOOKUP("IN-34",'Assumptions &amp; Inputs'!$A$31:$F$69,5,FALSE),0),0)</f>
        <v>124840</v>
      </c>
      <c r="CD38" s="4">
        <f>IF(BR38=1,((AI38+(IF(R38="IN-07",'Assumptions &amp; Inputs'!$C$65,AF38))*AL38)*AS38)+AW38+(((AI38+(IF(R38="IN-07",'Assumptions &amp; Inputs'!$C$65,AF38))*AL38)*AS38)*AZ38)+IF(BD38="Yes",(((AI38+(IF(R38="IN-07",'Assumptions &amp; Inputs'!$C$65,AF38))*AL38)*AS38)+AW38)*VLOOKUP("IN-34",'Assumptions &amp; Inputs'!$A$31:$F$69,3,FALSE),0),0)</f>
        <v>26922</v>
      </c>
      <c r="CE38" s="4">
        <f>IF(BR38=1,((AJ38+(IF(R38="IN-07",'Assumptions &amp; Inputs'!$D$65,AG38))*AM38)*AS38)+AX38+(((AJ38+(IF(R38="IN-07",'Assumptions &amp; Inputs'!$D$65,AG38))*AM38)*AS38)*AZ38)+IF(BD38="Yes",(((AJ38+(IF(R38="IN-07",'Assumptions &amp; Inputs'!$D$65,AG38))*AM38)*AS38)+AX38)*VLOOKUP("IN-34",'Assumptions &amp; Inputs'!$A$31:$F$69,4,FALSE),0),0)</f>
        <v>53745</v>
      </c>
      <c r="CF38" s="4">
        <f>IF(BR38=1,((AK38+(IF(R38="IN-07",'Assumptions &amp; Inputs'!$E$65,AH38))*AN38)*AS38)+AY38+(((AK38+(IF(R38="IN-07",'Assumptions &amp; Inputs'!$E$65,AH38))*AN38)*AS38)*AZ38)+IF(BD38="Yes",(((AK38+(IF(R38="IN-07",'Assumptions &amp; Inputs'!$E$65,AH38))*AN38)*AS38)+AY38)*VLOOKUP("IN-34",'Assumptions &amp; Inputs'!$A$31:$F$69,5,FALSE),0),0)</f>
        <v>124840</v>
      </c>
      <c r="CG38" s="4">
        <f>IF(BS38=1,((AI38+(IF(R38="IN-07",0,AF38))*AL38)*AS38)+AW38+(((AI38+(IF(R38="IN-07",0,AF38))*AL38)*AS38)*AZ38)+IF(BD38="Yes",(((AI38+(IF(R38="IN-07",0,AF38))*AL38)*AS38)+AW38)*VLOOKUP("IN-34",'Assumptions &amp; Inputs'!$A$31:$F$69,3,FALSE),0),0)</f>
        <v>0</v>
      </c>
      <c r="CH38" s="4">
        <f>IF(BS38=1,((AJ38+(IF(R38="IN-07",0,AG38))*AM38)*AS38)+AX38+(((AJ38+(IF(R38="IN-07",0,AG38))*AM38)*AS38)*AZ38)+IF(BD38="Yes",(((AJ38+(IF(R38="IN-07",0,AG38))*AM38)*AS38)+AX38)*VLOOKUP("IN-34",'Assumptions &amp; Inputs'!$A$31:$F$69,4,FALSE),0),0)</f>
        <v>0</v>
      </c>
      <c r="CI38" s="4">
        <f>IF(BS38=1,((AK38+(IF(R38="IN-07",0,AH38))*AN38)*AS38)+AY38+(((AK38+(IF(R38="IN-07",0,AH38))*AN38)*AS38)*AZ38)+IF(BD38="Yes",(((AK38+(IF(R38="IN-07",0,AH38))*AN38)*AS38)+AY38)*VLOOKUP("IN-34",'Assumptions &amp; Inputs'!$A$31:$F$69,5,FALSE),0),0)</f>
        <v>0</v>
      </c>
      <c r="CJ38" s="4">
        <f>IF(BT38=1,((AI38+(IF(R38="IN-07",0,AF38))*AL38)*AS38)+AW38+(((AI38+(IF(R38="IN-07",0,AF38))*AL38)*AS38)*AZ38)+IF(BD38="Yes",(((AI38+(IF(R38="IN-07",0,AF38))*AL38)*AS38)+AW38)*VLOOKUP("IN-34",'Assumptions &amp; Inputs'!$A$31:$F$69,3,FALSE),0),0)</f>
        <v>0</v>
      </c>
      <c r="CK38" s="4">
        <f>IF(BT38=1,((AJ38+(IF(R38="IN-07",0,AG38))*AM38)*AS38)+AX38+(((AJ38+(IF(R38="IN-07",0,AG38))*AM38)*AS38)*AZ38)+IF(BD38="Yes",(((AJ38+(IF(R38="IN-07",0,AG38))*AM38)*AS38)+AX38)*VLOOKUP("IN-34",'Assumptions &amp; Inputs'!$A$31:$F$69,4,FALSE),0),0)</f>
        <v>0</v>
      </c>
      <c r="CL38" s="4">
        <f>IF(BT38=1,((AK38+(IF(R38="IN-07",0,AH38))*AN38)*AS38)+AY38+(((AK38+(IF(R38="IN-07",0,AH38))*AN38)*AS38)*AZ38)+IF(BD38="Yes",(((AK38+(IF(R38="IN-07",0,AH38))*AN38)*AS38)+AY38)*VLOOKUP("IN-34",'Assumptions &amp; Inputs'!$A$31:$F$69,5,FALSE),0),0)</f>
        <v>0</v>
      </c>
    </row>
    <row r="39" spans="1:90" ht="43.5" x14ac:dyDescent="0.35">
      <c r="A39" s="2" t="s">
        <v>987</v>
      </c>
      <c r="B39" s="2" t="s">
        <v>988</v>
      </c>
      <c r="C39" s="2" t="s">
        <v>48</v>
      </c>
      <c r="D39" s="2" t="s">
        <v>56</v>
      </c>
      <c r="E39" s="2" t="s">
        <v>165</v>
      </c>
      <c r="F39" s="2" t="s">
        <v>989</v>
      </c>
      <c r="G39" s="2" t="s">
        <v>990</v>
      </c>
      <c r="H39" s="2" t="s">
        <v>991</v>
      </c>
      <c r="I39" s="2" t="s">
        <v>810</v>
      </c>
      <c r="J39" s="2" t="s">
        <v>874</v>
      </c>
      <c r="K39" s="2" t="s">
        <v>899</v>
      </c>
      <c r="L39" s="2" t="s">
        <v>810</v>
      </c>
      <c r="M39" s="2" t="s">
        <v>532</v>
      </c>
      <c r="N39" s="2" t="s">
        <v>180</v>
      </c>
      <c r="O39" s="2" t="s">
        <v>813</v>
      </c>
      <c r="P39" s="2" t="s">
        <v>593</v>
      </c>
      <c r="Q39" s="2" t="s">
        <v>862</v>
      </c>
      <c r="R39" s="2" t="s">
        <v>306</v>
      </c>
      <c r="S39" s="2" t="s">
        <v>863</v>
      </c>
      <c r="T39" s="2" t="s">
        <v>878</v>
      </c>
      <c r="U39" s="2" t="s">
        <v>992</v>
      </c>
      <c r="V39" s="2" t="s">
        <v>815</v>
      </c>
      <c r="W39" s="2" t="s">
        <v>993</v>
      </c>
      <c r="X39" s="2" t="s">
        <v>647</v>
      </c>
      <c r="Y39" s="2" t="s">
        <v>994</v>
      </c>
      <c r="Z39" s="2" t="s">
        <v>543</v>
      </c>
      <c r="AA39" s="2" t="s">
        <v>853</v>
      </c>
      <c r="AB39" s="2" t="s">
        <v>36</v>
      </c>
      <c r="AC39" s="2" t="s">
        <v>721</v>
      </c>
      <c r="AD39" s="2" t="s">
        <v>722</v>
      </c>
      <c r="AE39" s="18">
        <f>IF(ISNUMBER(SEARCH('Scenario Definitions'!$C$5,N39)),1,0)</f>
        <v>1</v>
      </c>
      <c r="AF39" s="18">
        <f>IFERROR(VLOOKUP(R39,'Assumptions &amp; Inputs'!$A$31:$F$69,3,FALSE),0)</f>
        <v>3</v>
      </c>
      <c r="AG39" s="18">
        <f>IFERROR(VLOOKUP(R39,'Assumptions &amp; Inputs'!$A$31:$F$69,4,FALSE),0)</f>
        <v>5</v>
      </c>
      <c r="AH39" s="19">
        <f>IFERROR(VLOOKUP(R39,'Assumptions &amp; Inputs'!$A$31:$F$69,5,FALSE),0)</f>
        <v>8</v>
      </c>
      <c r="AI39" s="11">
        <v>0</v>
      </c>
      <c r="AJ39" s="11">
        <v>0</v>
      </c>
      <c r="AK39" s="11">
        <v>0</v>
      </c>
      <c r="AL39" s="11">
        <v>24.3</v>
      </c>
      <c r="AM39" s="11">
        <v>32.4</v>
      </c>
      <c r="AN39" s="11">
        <v>48.6</v>
      </c>
      <c r="AO39" s="37">
        <f t="shared" si="18"/>
        <v>72.900000000000006</v>
      </c>
      <c r="AP39" s="18">
        <f t="shared" si="19"/>
        <v>162</v>
      </c>
      <c r="AQ39" s="19">
        <f t="shared" si="20"/>
        <v>388.8</v>
      </c>
      <c r="AR39" s="58" t="s">
        <v>419</v>
      </c>
      <c r="AS39" s="33">
        <f>IFERROR(VLOOKUP(AR39,'Assumptions &amp; Inputs'!$A$73:$I$100,9,FALSE),0)</f>
        <v>120</v>
      </c>
      <c r="AT39" s="26">
        <f t="shared" si="21"/>
        <v>8748</v>
      </c>
      <c r="AU39" s="26">
        <f t="shared" si="22"/>
        <v>19440</v>
      </c>
      <c r="AV39" s="27">
        <f t="shared" si="23"/>
        <v>46656</v>
      </c>
      <c r="AW39" s="57">
        <v>2000</v>
      </c>
      <c r="AX39" s="57">
        <v>8000</v>
      </c>
      <c r="AY39" s="57">
        <v>20000</v>
      </c>
      <c r="AZ39" s="33">
        <f>IFERROR(VLOOKUP(C39,'Assumptions &amp; Inputs'!$A$104:$B$107,2,FALSE),0)</f>
        <v>0.35</v>
      </c>
      <c r="BA39" s="26">
        <f t="shared" si="24"/>
        <v>3061.7999999999997</v>
      </c>
      <c r="BB39" s="26">
        <f t="shared" si="25"/>
        <v>6804</v>
      </c>
      <c r="BC39" s="27">
        <f t="shared" si="26"/>
        <v>16329.599999999999</v>
      </c>
      <c r="BD39" s="57" t="s">
        <v>209</v>
      </c>
      <c r="BE39" s="33">
        <f>IF(BD39="Yes",(AT39+AW39)*VLOOKUP("IN-34",'Assumptions &amp; Inputs'!$A$31:$F$69,3,FALSE),0)</f>
        <v>537.4</v>
      </c>
      <c r="BF39" s="26">
        <f>IF(BD39="Yes",(AU39+AX39)*VLOOKUP("IN-34",'Assumptions &amp; Inputs'!$A$31:$F$69,4,FALSE),0)</f>
        <v>2058</v>
      </c>
      <c r="BG39" s="26">
        <f>IF(BD39="Yes",(AV39+AY39)*VLOOKUP("IN-34",'Assumptions &amp; Inputs'!$A$31:$F$69,5,FALSE),0)</f>
        <v>9998.4</v>
      </c>
      <c r="BH39" s="26">
        <f t="shared" si="27"/>
        <v>14347.199999999999</v>
      </c>
      <c r="BI39" s="26">
        <f t="shared" si="28"/>
        <v>36302</v>
      </c>
      <c r="BJ39" s="27">
        <f t="shared" si="29"/>
        <v>92984</v>
      </c>
      <c r="BK39" s="58" t="s">
        <v>548</v>
      </c>
      <c r="BL39" s="58" t="s">
        <v>549</v>
      </c>
      <c r="BM39" s="58" t="s">
        <v>853</v>
      </c>
      <c r="BN39" s="58" t="s">
        <v>550</v>
      </c>
      <c r="BO39" s="5">
        <f t="shared" si="30"/>
        <v>1</v>
      </c>
      <c r="BP39" s="5">
        <f t="shared" si="31"/>
        <v>1</v>
      </c>
      <c r="BQ39" s="5">
        <f t="shared" si="32"/>
        <v>1</v>
      </c>
      <c r="BR39" s="5">
        <f t="shared" si="33"/>
        <v>1</v>
      </c>
      <c r="BS39" s="5">
        <f t="shared" si="34"/>
        <v>0</v>
      </c>
      <c r="BT39" s="5">
        <f t="shared" si="35"/>
        <v>0</v>
      </c>
      <c r="BU39" s="4">
        <f>IF(BO39=1,((AI39+(IF(R39="IN-07",'Assumptions &amp; Inputs'!$C$66,AF39))*AL39)*AS39)+AW39+(((AI39+(IF(R39="IN-07",'Assumptions &amp; Inputs'!$C$66,AF39))*AL39)*AS39)*AZ39)+IF(BD39="Yes",(((AI39+(IF(R39="IN-07",'Assumptions &amp; Inputs'!$C$66,AF39))*AL39)*AS39)+AW39)*VLOOKUP("IN-34",'Assumptions &amp; Inputs'!$A$31:$F$69,3,FALSE),0),0)</f>
        <v>14347.199999999999</v>
      </c>
      <c r="BV39" s="4">
        <f>IF(BO39=1,((AJ39+(IF(R39="IN-07",'Assumptions &amp; Inputs'!$D$66,AG39))*AM39)*AS39)+AX39+(((AJ39+(IF(R39="IN-07",'Assumptions &amp; Inputs'!$D$66,AG39))*AM39)*AS39)*AZ39)+IF(BD39="Yes",(((AJ39+(IF(R39="IN-07",'Assumptions &amp; Inputs'!$D$66,AG39))*AM39)*AS39)+AX39)*VLOOKUP("IN-34",'Assumptions &amp; Inputs'!$A$31:$F$69,4,FALSE),0),0)</f>
        <v>36302</v>
      </c>
      <c r="BW39" s="4">
        <f>IF(BO39=1,((AK39+(IF(R39="IN-07",'Assumptions &amp; Inputs'!$E$66,AH39))*AN39)*AS39)+AY39+(((AK39+(IF(R39="IN-07",'Assumptions &amp; Inputs'!$E$66,AH39))*AN39)*AS39)*AZ39)+IF(BD39="Yes",(((AK39+(IF(R39="IN-07",'Assumptions &amp; Inputs'!$E$66,AH39))*AN39)*AS39)+AY39)*VLOOKUP("IN-34",'Assumptions &amp; Inputs'!$A$31:$F$69,5,FALSE),0),0)</f>
        <v>92984</v>
      </c>
      <c r="BX39" s="4">
        <f>IF(BP39=1,((AI39+(IF(R39="IN-07",'Assumptions &amp; Inputs'!$C$66,AF39))*AL39)*AS39)+AW39+(((AI39+(IF(R39="IN-07",'Assumptions &amp; Inputs'!$C$66,AF39))*AL39)*AS39)*AZ39)+IF(BD39="Yes",(((AI39+(IF(R39="IN-07",'Assumptions &amp; Inputs'!$C$66,AF39))*AL39)*AS39)+AW39)*VLOOKUP("IN-34",'Assumptions &amp; Inputs'!$A$31:$F$69,3,FALSE),0),0)</f>
        <v>14347.199999999999</v>
      </c>
      <c r="BY39" s="4">
        <f>IF(BP39=1,((AJ39+(IF(R39="IN-07",'Assumptions &amp; Inputs'!$D$66,AG39))*AM39)*AS39)+AX39+(((AJ39+(IF(R39="IN-07",'Assumptions &amp; Inputs'!$D$66,AG39))*AM39)*AS39)*AZ39)+IF(BD39="Yes",(((AJ39+(IF(R39="IN-07",'Assumptions &amp; Inputs'!$D$66,AG39))*AM39)*AS39)+AX39)*VLOOKUP("IN-34",'Assumptions &amp; Inputs'!$A$31:$F$69,4,FALSE),0),0)</f>
        <v>36302</v>
      </c>
      <c r="BZ39" s="4">
        <f>IF(BP39=1,((AK39+(IF(R39="IN-07",'Assumptions &amp; Inputs'!$E$66,AH39))*AN39)*AS39)+AY39+(((AK39+(IF(R39="IN-07",'Assumptions &amp; Inputs'!$E$66,AH39))*AN39)*AS39)*AZ39)+IF(BD39="Yes",(((AK39+(IF(R39="IN-07",'Assumptions &amp; Inputs'!$E$66,AH39))*AN39)*AS39)+AY39)*VLOOKUP("IN-34",'Assumptions &amp; Inputs'!$A$31:$F$69,5,FALSE),0),0)</f>
        <v>92984</v>
      </c>
      <c r="CA39" s="4">
        <f>IF(BQ39=1,((AI39+(IF(R39="IN-07",'Assumptions &amp; Inputs'!$C$65,AF39))*AL39)*AS39)+AW39+(((AI39+(IF(R39="IN-07",'Assumptions &amp; Inputs'!$C$65,AF39))*AL39)*AS39)*AZ39)+IF(BD39="Yes",(((AI39+(IF(R39="IN-07",'Assumptions &amp; Inputs'!$C$65,AF39))*AL39)*AS39)+AW39)*VLOOKUP("IN-34",'Assumptions &amp; Inputs'!$A$31:$F$69,3,FALSE),0),0)</f>
        <v>14347.199999999999</v>
      </c>
      <c r="CB39" s="4">
        <f>IF(BQ39=1,((AJ39+(IF(R39="IN-07",'Assumptions &amp; Inputs'!$D$65,AG39))*AM39)*AS39)+AX39+(((AJ39+(IF(R39="IN-07",'Assumptions &amp; Inputs'!$D$65,AG39))*AM39)*AS39)*AZ39)+IF(BD39="Yes",(((AJ39+(IF(R39="IN-07",'Assumptions &amp; Inputs'!$D$65,AG39))*AM39)*AS39)+AX39)*VLOOKUP("IN-34",'Assumptions &amp; Inputs'!$A$31:$F$69,4,FALSE),0),0)</f>
        <v>36302</v>
      </c>
      <c r="CC39" s="4">
        <f>IF(BQ39=1,((AK39+(IF(R39="IN-07",'Assumptions &amp; Inputs'!$E$65,AH39))*AN39)*AS39)+AY39+(((AK39+(IF(R39="IN-07",'Assumptions &amp; Inputs'!$E$65,AH39))*AN39)*AS39)*AZ39)+IF(BD39="Yes",(((AK39+(IF(R39="IN-07",'Assumptions &amp; Inputs'!$E$65,AH39))*AN39)*AS39)+AY39)*VLOOKUP("IN-34",'Assumptions &amp; Inputs'!$A$31:$F$69,5,FALSE),0),0)</f>
        <v>92984</v>
      </c>
      <c r="CD39" s="4">
        <f>IF(BR39=1,((AI39+(IF(R39="IN-07",'Assumptions &amp; Inputs'!$C$65,AF39))*AL39)*AS39)+AW39+(((AI39+(IF(R39="IN-07",'Assumptions &amp; Inputs'!$C$65,AF39))*AL39)*AS39)*AZ39)+IF(BD39="Yes",(((AI39+(IF(R39="IN-07",'Assumptions &amp; Inputs'!$C$65,AF39))*AL39)*AS39)+AW39)*VLOOKUP("IN-34",'Assumptions &amp; Inputs'!$A$31:$F$69,3,FALSE),0),0)</f>
        <v>14347.199999999999</v>
      </c>
      <c r="CE39" s="4">
        <f>IF(BR39=1,((AJ39+(IF(R39="IN-07",'Assumptions &amp; Inputs'!$D$65,AG39))*AM39)*AS39)+AX39+(((AJ39+(IF(R39="IN-07",'Assumptions &amp; Inputs'!$D$65,AG39))*AM39)*AS39)*AZ39)+IF(BD39="Yes",(((AJ39+(IF(R39="IN-07",'Assumptions &amp; Inputs'!$D$65,AG39))*AM39)*AS39)+AX39)*VLOOKUP("IN-34",'Assumptions &amp; Inputs'!$A$31:$F$69,4,FALSE),0),0)</f>
        <v>36302</v>
      </c>
      <c r="CF39" s="4">
        <f>IF(BR39=1,((AK39+(IF(R39="IN-07",'Assumptions &amp; Inputs'!$E$65,AH39))*AN39)*AS39)+AY39+(((AK39+(IF(R39="IN-07",'Assumptions &amp; Inputs'!$E$65,AH39))*AN39)*AS39)*AZ39)+IF(BD39="Yes",(((AK39+(IF(R39="IN-07",'Assumptions &amp; Inputs'!$E$65,AH39))*AN39)*AS39)+AY39)*VLOOKUP("IN-34",'Assumptions &amp; Inputs'!$A$31:$F$69,5,FALSE),0),0)</f>
        <v>92984</v>
      </c>
      <c r="CG39" s="4">
        <f>IF(BS39=1,((AI39+(IF(R39="IN-07",0,AF39))*AL39)*AS39)+AW39+(((AI39+(IF(R39="IN-07",0,AF39))*AL39)*AS39)*AZ39)+IF(BD39="Yes",(((AI39+(IF(R39="IN-07",0,AF39))*AL39)*AS39)+AW39)*VLOOKUP("IN-34",'Assumptions &amp; Inputs'!$A$31:$F$69,3,FALSE),0),0)</f>
        <v>0</v>
      </c>
      <c r="CH39" s="4">
        <f>IF(BS39=1,((AJ39+(IF(R39="IN-07",0,AG39))*AM39)*AS39)+AX39+(((AJ39+(IF(R39="IN-07",0,AG39))*AM39)*AS39)*AZ39)+IF(BD39="Yes",(((AJ39+(IF(R39="IN-07",0,AG39))*AM39)*AS39)+AX39)*VLOOKUP("IN-34",'Assumptions &amp; Inputs'!$A$31:$F$69,4,FALSE),0),0)</f>
        <v>0</v>
      </c>
      <c r="CI39" s="4">
        <f>IF(BS39=1,((AK39+(IF(R39="IN-07",0,AH39))*AN39)*AS39)+AY39+(((AK39+(IF(R39="IN-07",0,AH39))*AN39)*AS39)*AZ39)+IF(BD39="Yes",(((AK39+(IF(R39="IN-07",0,AH39))*AN39)*AS39)+AY39)*VLOOKUP("IN-34",'Assumptions &amp; Inputs'!$A$31:$F$69,5,FALSE),0),0)</f>
        <v>0</v>
      </c>
      <c r="CJ39" s="4">
        <f>IF(BT39=1,((AI39+(IF(R39="IN-07",0,AF39))*AL39)*AS39)+AW39+(((AI39+(IF(R39="IN-07",0,AF39))*AL39)*AS39)*AZ39)+IF(BD39="Yes",(((AI39+(IF(R39="IN-07",0,AF39))*AL39)*AS39)+AW39)*VLOOKUP("IN-34",'Assumptions &amp; Inputs'!$A$31:$F$69,3,FALSE),0),0)</f>
        <v>0</v>
      </c>
      <c r="CK39" s="4">
        <f>IF(BT39=1,((AJ39+(IF(R39="IN-07",0,AG39))*AM39)*AS39)+AX39+(((AJ39+(IF(R39="IN-07",0,AG39))*AM39)*AS39)*AZ39)+IF(BD39="Yes",(((AJ39+(IF(R39="IN-07",0,AG39))*AM39)*AS39)+AX39)*VLOOKUP("IN-34",'Assumptions &amp; Inputs'!$A$31:$F$69,4,FALSE),0),0)</f>
        <v>0</v>
      </c>
      <c r="CL39" s="4">
        <f>IF(BT39=1,((AK39+(IF(R39="IN-07",0,AH39))*AN39)*AS39)+AY39+(((AK39+(IF(R39="IN-07",0,AH39))*AN39)*AS39)*AZ39)+IF(BD39="Yes",(((AK39+(IF(R39="IN-07",0,AH39))*AN39)*AS39)+AY39)*VLOOKUP("IN-34",'Assumptions &amp; Inputs'!$A$31:$F$69,5,FALSE),0),0)</f>
        <v>0</v>
      </c>
    </row>
    <row r="40" spans="1:90" ht="43.5" x14ac:dyDescent="0.35">
      <c r="A40" s="2" t="s">
        <v>995</v>
      </c>
      <c r="B40" s="2" t="s">
        <v>996</v>
      </c>
      <c r="C40" s="2" t="s">
        <v>48</v>
      </c>
      <c r="D40" s="2" t="s">
        <v>56</v>
      </c>
      <c r="E40" s="2" t="s">
        <v>997</v>
      </c>
      <c r="F40" s="2" t="s">
        <v>998</v>
      </c>
      <c r="G40" s="2" t="s">
        <v>999</v>
      </c>
      <c r="H40" s="2" t="s">
        <v>1000</v>
      </c>
      <c r="I40" s="2" t="s">
        <v>810</v>
      </c>
      <c r="J40" s="2" t="s">
        <v>1001</v>
      </c>
      <c r="K40" s="2" t="s">
        <v>899</v>
      </c>
      <c r="L40" s="2" t="s">
        <v>810</v>
      </c>
      <c r="M40" s="2" t="s">
        <v>532</v>
      </c>
      <c r="N40" s="2" t="s">
        <v>180</v>
      </c>
      <c r="O40" s="2" t="s">
        <v>813</v>
      </c>
      <c r="P40" s="2" t="s">
        <v>593</v>
      </c>
      <c r="Q40" s="2" t="s">
        <v>1002</v>
      </c>
      <c r="R40" s="2" t="s">
        <v>353</v>
      </c>
      <c r="S40" s="2" t="s">
        <v>1003</v>
      </c>
      <c r="T40" s="2" t="s">
        <v>878</v>
      </c>
      <c r="U40" s="2" t="s">
        <v>1004</v>
      </c>
      <c r="V40" s="2" t="s">
        <v>815</v>
      </c>
      <c r="W40" s="2" t="s">
        <v>850</v>
      </c>
      <c r="X40" s="2" t="s">
        <v>647</v>
      </c>
      <c r="Y40" s="2" t="s">
        <v>202</v>
      </c>
      <c r="Z40" s="2" t="s">
        <v>601</v>
      </c>
      <c r="AA40" s="2" t="s">
        <v>853</v>
      </c>
      <c r="AB40" s="2" t="s">
        <v>36</v>
      </c>
      <c r="AC40" s="2" t="s">
        <v>1005</v>
      </c>
      <c r="AD40" s="2" t="s">
        <v>1006</v>
      </c>
      <c r="AE40" s="18">
        <f>IF(ISNUMBER(SEARCH('Scenario Definitions'!$C$5,N40)),1,0)</f>
        <v>1</v>
      </c>
      <c r="AF40" s="18">
        <f>IFERROR(VLOOKUP(R40,'Assumptions &amp; Inputs'!$A$31:$F$69,3,FALSE),0)</f>
        <v>3</v>
      </c>
      <c r="AG40" s="18">
        <f>IFERROR(VLOOKUP(R40,'Assumptions &amp; Inputs'!$A$31:$F$69,4,FALSE),0)</f>
        <v>10</v>
      </c>
      <c r="AH40" s="19">
        <f>IFERROR(VLOOKUP(R40,'Assumptions &amp; Inputs'!$A$31:$F$69,5,FALSE),0)</f>
        <v>32</v>
      </c>
      <c r="AI40" s="11">
        <v>0</v>
      </c>
      <c r="AJ40" s="11">
        <v>0</v>
      </c>
      <c r="AK40" s="11">
        <v>0</v>
      </c>
      <c r="AL40" s="11">
        <v>18</v>
      </c>
      <c r="AM40" s="11">
        <v>24</v>
      </c>
      <c r="AN40" s="11">
        <v>36</v>
      </c>
      <c r="AO40" s="37">
        <f t="shared" si="18"/>
        <v>54</v>
      </c>
      <c r="AP40" s="18">
        <f t="shared" si="19"/>
        <v>240</v>
      </c>
      <c r="AQ40" s="19">
        <f t="shared" si="20"/>
        <v>1152</v>
      </c>
      <c r="AR40" s="58" t="s">
        <v>419</v>
      </c>
      <c r="AS40" s="33">
        <f>IFERROR(VLOOKUP(AR40,'Assumptions &amp; Inputs'!$A$73:$I$100,9,FALSE),0)</f>
        <v>120</v>
      </c>
      <c r="AT40" s="26">
        <f t="shared" si="21"/>
        <v>6480</v>
      </c>
      <c r="AU40" s="26">
        <f t="shared" si="22"/>
        <v>28800</v>
      </c>
      <c r="AV40" s="27">
        <f t="shared" si="23"/>
        <v>138240</v>
      </c>
      <c r="AW40" s="57">
        <v>10000</v>
      </c>
      <c r="AX40" s="57">
        <v>30000</v>
      </c>
      <c r="AY40" s="57">
        <v>90000</v>
      </c>
      <c r="AZ40" s="33">
        <f>IFERROR(VLOOKUP(C40,'Assumptions &amp; Inputs'!$A$104:$B$107,2,FALSE),0)</f>
        <v>0.35</v>
      </c>
      <c r="BA40" s="26">
        <f t="shared" si="24"/>
        <v>2268</v>
      </c>
      <c r="BB40" s="26">
        <f t="shared" si="25"/>
        <v>10080</v>
      </c>
      <c r="BC40" s="27">
        <f t="shared" si="26"/>
        <v>48384</v>
      </c>
      <c r="BD40" s="57" t="s">
        <v>209</v>
      </c>
      <c r="BE40" s="33">
        <f>IF(BD40="Yes",(AT40+AW40)*VLOOKUP("IN-34",'Assumptions &amp; Inputs'!$A$31:$F$69,3,FALSE),0)</f>
        <v>824</v>
      </c>
      <c r="BF40" s="26">
        <f>IF(BD40="Yes",(AU40+AX40)*VLOOKUP("IN-34",'Assumptions &amp; Inputs'!$A$31:$F$69,4,FALSE),0)</f>
        <v>4410</v>
      </c>
      <c r="BG40" s="26">
        <f>IF(BD40="Yes",(AV40+AY40)*VLOOKUP("IN-34",'Assumptions &amp; Inputs'!$A$31:$F$69,5,FALSE),0)</f>
        <v>34236</v>
      </c>
      <c r="BH40" s="26">
        <f t="shared" si="27"/>
        <v>19572</v>
      </c>
      <c r="BI40" s="26">
        <f t="shared" si="28"/>
        <v>73290</v>
      </c>
      <c r="BJ40" s="27">
        <f t="shared" si="29"/>
        <v>310860</v>
      </c>
      <c r="BK40" s="58" t="s">
        <v>548</v>
      </c>
      <c r="BL40" s="58" t="s">
        <v>549</v>
      </c>
      <c r="BM40" s="58" t="s">
        <v>853</v>
      </c>
      <c r="BN40" s="58" t="s">
        <v>550</v>
      </c>
      <c r="BO40" s="5">
        <f t="shared" si="30"/>
        <v>1</v>
      </c>
      <c r="BP40" s="5">
        <f t="shared" si="31"/>
        <v>1</v>
      </c>
      <c r="BQ40" s="5">
        <f t="shared" si="32"/>
        <v>1</v>
      </c>
      <c r="BR40" s="5">
        <f t="shared" si="33"/>
        <v>1</v>
      </c>
      <c r="BS40" s="5">
        <f t="shared" si="34"/>
        <v>0</v>
      </c>
      <c r="BT40" s="5">
        <f t="shared" si="35"/>
        <v>0</v>
      </c>
      <c r="BU40" s="4">
        <f>IF(BO40=1,((AI40+(IF(R40="IN-07",'Assumptions &amp; Inputs'!$C$66,AF40))*AL40)*AS40)+AW40+(((AI40+(IF(R40="IN-07",'Assumptions &amp; Inputs'!$C$66,AF40))*AL40)*AS40)*AZ40)+IF(BD40="Yes",(((AI40+(IF(R40="IN-07",'Assumptions &amp; Inputs'!$C$66,AF40))*AL40)*AS40)+AW40)*VLOOKUP("IN-34",'Assumptions &amp; Inputs'!$A$31:$F$69,3,FALSE),0),0)</f>
        <v>19572</v>
      </c>
      <c r="BV40" s="4">
        <f>IF(BO40=1,((AJ40+(IF(R40="IN-07",'Assumptions &amp; Inputs'!$D$66,AG40))*AM40)*AS40)+AX40+(((AJ40+(IF(R40="IN-07",'Assumptions &amp; Inputs'!$D$66,AG40))*AM40)*AS40)*AZ40)+IF(BD40="Yes",(((AJ40+(IF(R40="IN-07",'Assumptions &amp; Inputs'!$D$66,AG40))*AM40)*AS40)+AX40)*VLOOKUP("IN-34",'Assumptions &amp; Inputs'!$A$31:$F$69,4,FALSE),0),0)</f>
        <v>73290</v>
      </c>
      <c r="BW40" s="4">
        <f>IF(BO40=1,((AK40+(IF(R40="IN-07",'Assumptions &amp; Inputs'!$E$66,AH40))*AN40)*AS40)+AY40+(((AK40+(IF(R40="IN-07",'Assumptions &amp; Inputs'!$E$66,AH40))*AN40)*AS40)*AZ40)+IF(BD40="Yes",(((AK40+(IF(R40="IN-07",'Assumptions &amp; Inputs'!$E$66,AH40))*AN40)*AS40)+AY40)*VLOOKUP("IN-34",'Assumptions &amp; Inputs'!$A$31:$F$69,5,FALSE),0),0)</f>
        <v>310860</v>
      </c>
      <c r="BX40" s="4">
        <f>IF(BP40=1,((AI40+(IF(R40="IN-07",'Assumptions &amp; Inputs'!$C$66,AF40))*AL40)*AS40)+AW40+(((AI40+(IF(R40="IN-07",'Assumptions &amp; Inputs'!$C$66,AF40))*AL40)*AS40)*AZ40)+IF(BD40="Yes",(((AI40+(IF(R40="IN-07",'Assumptions &amp; Inputs'!$C$66,AF40))*AL40)*AS40)+AW40)*VLOOKUP("IN-34",'Assumptions &amp; Inputs'!$A$31:$F$69,3,FALSE),0),0)</f>
        <v>19572</v>
      </c>
      <c r="BY40" s="4">
        <f>IF(BP40=1,((AJ40+(IF(R40="IN-07",'Assumptions &amp; Inputs'!$D$66,AG40))*AM40)*AS40)+AX40+(((AJ40+(IF(R40="IN-07",'Assumptions &amp; Inputs'!$D$66,AG40))*AM40)*AS40)*AZ40)+IF(BD40="Yes",(((AJ40+(IF(R40="IN-07",'Assumptions &amp; Inputs'!$D$66,AG40))*AM40)*AS40)+AX40)*VLOOKUP("IN-34",'Assumptions &amp; Inputs'!$A$31:$F$69,4,FALSE),0),0)</f>
        <v>73290</v>
      </c>
      <c r="BZ40" s="4">
        <f>IF(BP40=1,((AK40+(IF(R40="IN-07",'Assumptions &amp; Inputs'!$E$66,AH40))*AN40)*AS40)+AY40+(((AK40+(IF(R40="IN-07",'Assumptions &amp; Inputs'!$E$66,AH40))*AN40)*AS40)*AZ40)+IF(BD40="Yes",(((AK40+(IF(R40="IN-07",'Assumptions &amp; Inputs'!$E$66,AH40))*AN40)*AS40)+AY40)*VLOOKUP("IN-34",'Assumptions &amp; Inputs'!$A$31:$F$69,5,FALSE),0),0)</f>
        <v>310860</v>
      </c>
      <c r="CA40" s="4">
        <f>IF(BQ40=1,((AI40+(IF(R40="IN-07",'Assumptions &amp; Inputs'!$C$65,AF40))*AL40)*AS40)+AW40+(((AI40+(IF(R40="IN-07",'Assumptions &amp; Inputs'!$C$65,AF40))*AL40)*AS40)*AZ40)+IF(BD40="Yes",(((AI40+(IF(R40="IN-07",'Assumptions &amp; Inputs'!$C$65,AF40))*AL40)*AS40)+AW40)*VLOOKUP("IN-34",'Assumptions &amp; Inputs'!$A$31:$F$69,3,FALSE),0),0)</f>
        <v>19572</v>
      </c>
      <c r="CB40" s="4">
        <f>IF(BQ40=1,((AJ40+(IF(R40="IN-07",'Assumptions &amp; Inputs'!$D$65,AG40))*AM40)*AS40)+AX40+(((AJ40+(IF(R40="IN-07",'Assumptions &amp; Inputs'!$D$65,AG40))*AM40)*AS40)*AZ40)+IF(BD40="Yes",(((AJ40+(IF(R40="IN-07",'Assumptions &amp; Inputs'!$D$65,AG40))*AM40)*AS40)+AX40)*VLOOKUP("IN-34",'Assumptions &amp; Inputs'!$A$31:$F$69,4,FALSE),0),0)</f>
        <v>73290</v>
      </c>
      <c r="CC40" s="4">
        <f>IF(BQ40=1,((AK40+(IF(R40="IN-07",'Assumptions &amp; Inputs'!$E$65,AH40))*AN40)*AS40)+AY40+(((AK40+(IF(R40="IN-07",'Assumptions &amp; Inputs'!$E$65,AH40))*AN40)*AS40)*AZ40)+IF(BD40="Yes",(((AK40+(IF(R40="IN-07",'Assumptions &amp; Inputs'!$E$65,AH40))*AN40)*AS40)+AY40)*VLOOKUP("IN-34",'Assumptions &amp; Inputs'!$A$31:$F$69,5,FALSE),0),0)</f>
        <v>310860</v>
      </c>
      <c r="CD40" s="4">
        <f>IF(BR40=1,((AI40+(IF(R40="IN-07",'Assumptions &amp; Inputs'!$C$65,AF40))*AL40)*AS40)+AW40+(((AI40+(IF(R40="IN-07",'Assumptions &amp; Inputs'!$C$65,AF40))*AL40)*AS40)*AZ40)+IF(BD40="Yes",(((AI40+(IF(R40="IN-07",'Assumptions &amp; Inputs'!$C$65,AF40))*AL40)*AS40)+AW40)*VLOOKUP("IN-34",'Assumptions &amp; Inputs'!$A$31:$F$69,3,FALSE),0),0)</f>
        <v>19572</v>
      </c>
      <c r="CE40" s="4">
        <f>IF(BR40=1,((AJ40+(IF(R40="IN-07",'Assumptions &amp; Inputs'!$D$65,AG40))*AM40)*AS40)+AX40+(((AJ40+(IF(R40="IN-07",'Assumptions &amp; Inputs'!$D$65,AG40))*AM40)*AS40)*AZ40)+IF(BD40="Yes",(((AJ40+(IF(R40="IN-07",'Assumptions &amp; Inputs'!$D$65,AG40))*AM40)*AS40)+AX40)*VLOOKUP("IN-34",'Assumptions &amp; Inputs'!$A$31:$F$69,4,FALSE),0),0)</f>
        <v>73290</v>
      </c>
      <c r="CF40" s="4">
        <f>IF(BR40=1,((AK40+(IF(R40="IN-07",'Assumptions &amp; Inputs'!$E$65,AH40))*AN40)*AS40)+AY40+(((AK40+(IF(R40="IN-07",'Assumptions &amp; Inputs'!$E$65,AH40))*AN40)*AS40)*AZ40)+IF(BD40="Yes",(((AK40+(IF(R40="IN-07",'Assumptions &amp; Inputs'!$E$65,AH40))*AN40)*AS40)+AY40)*VLOOKUP("IN-34",'Assumptions &amp; Inputs'!$A$31:$F$69,5,FALSE),0),0)</f>
        <v>310860</v>
      </c>
      <c r="CG40" s="4">
        <f>IF(BS40=1,((AI40+(IF(R40="IN-07",0,AF40))*AL40)*AS40)+AW40+(((AI40+(IF(R40="IN-07",0,AF40))*AL40)*AS40)*AZ40)+IF(BD40="Yes",(((AI40+(IF(R40="IN-07",0,AF40))*AL40)*AS40)+AW40)*VLOOKUP("IN-34",'Assumptions &amp; Inputs'!$A$31:$F$69,3,FALSE),0),0)</f>
        <v>0</v>
      </c>
      <c r="CH40" s="4">
        <f>IF(BS40=1,((AJ40+(IF(R40="IN-07",0,AG40))*AM40)*AS40)+AX40+(((AJ40+(IF(R40="IN-07",0,AG40))*AM40)*AS40)*AZ40)+IF(BD40="Yes",(((AJ40+(IF(R40="IN-07",0,AG40))*AM40)*AS40)+AX40)*VLOOKUP("IN-34",'Assumptions &amp; Inputs'!$A$31:$F$69,4,FALSE),0),0)</f>
        <v>0</v>
      </c>
      <c r="CI40" s="4">
        <f>IF(BS40=1,((AK40+(IF(R40="IN-07",0,AH40))*AN40)*AS40)+AY40+(((AK40+(IF(R40="IN-07",0,AH40))*AN40)*AS40)*AZ40)+IF(BD40="Yes",(((AK40+(IF(R40="IN-07",0,AH40))*AN40)*AS40)+AY40)*VLOOKUP("IN-34",'Assumptions &amp; Inputs'!$A$31:$F$69,5,FALSE),0),0)</f>
        <v>0</v>
      </c>
      <c r="CJ40" s="4">
        <f>IF(BT40=1,((AI40+(IF(R40="IN-07",0,AF40))*AL40)*AS40)+AW40+(((AI40+(IF(R40="IN-07",0,AF40))*AL40)*AS40)*AZ40)+IF(BD40="Yes",(((AI40+(IF(R40="IN-07",0,AF40))*AL40)*AS40)+AW40)*VLOOKUP("IN-34",'Assumptions &amp; Inputs'!$A$31:$F$69,3,FALSE),0),0)</f>
        <v>0</v>
      </c>
      <c r="CK40" s="4">
        <f>IF(BT40=1,((AJ40+(IF(R40="IN-07",0,AG40))*AM40)*AS40)+AX40+(((AJ40+(IF(R40="IN-07",0,AG40))*AM40)*AS40)*AZ40)+IF(BD40="Yes",(((AJ40+(IF(R40="IN-07",0,AG40))*AM40)*AS40)+AX40)*VLOOKUP("IN-34",'Assumptions &amp; Inputs'!$A$31:$F$69,4,FALSE),0),0)</f>
        <v>0</v>
      </c>
      <c r="CL40" s="4">
        <f>IF(BT40=1,((AK40+(IF(R40="IN-07",0,AH40))*AN40)*AS40)+AY40+(((AK40+(IF(R40="IN-07",0,AH40))*AN40)*AS40)*AZ40)+IF(BD40="Yes",(((AK40+(IF(R40="IN-07",0,AH40))*AN40)*AS40)+AY40)*VLOOKUP("IN-34",'Assumptions &amp; Inputs'!$A$31:$F$69,5,FALSE),0),0)</f>
        <v>0</v>
      </c>
    </row>
    <row r="41" spans="1:90" ht="43.5" x14ac:dyDescent="0.35">
      <c r="A41" s="2" t="s">
        <v>1007</v>
      </c>
      <c r="B41" s="2" t="s">
        <v>1008</v>
      </c>
      <c r="C41" s="2" t="s">
        <v>48</v>
      </c>
      <c r="D41" s="2" t="s">
        <v>56</v>
      </c>
      <c r="E41" s="2" t="s">
        <v>1009</v>
      </c>
      <c r="F41" s="2" t="s">
        <v>1010</v>
      </c>
      <c r="G41" s="2" t="s">
        <v>1011</v>
      </c>
      <c r="H41" s="2" t="s">
        <v>1012</v>
      </c>
      <c r="I41" s="2" t="s">
        <v>158</v>
      </c>
      <c r="J41" s="2" t="s">
        <v>1013</v>
      </c>
      <c r="K41" s="2" t="s">
        <v>157</v>
      </c>
      <c r="L41" s="2" t="s">
        <v>810</v>
      </c>
      <c r="M41" s="2" t="s">
        <v>532</v>
      </c>
      <c r="N41" s="2" t="s">
        <v>180</v>
      </c>
      <c r="O41" s="2" t="s">
        <v>813</v>
      </c>
      <c r="P41" s="2" t="s">
        <v>534</v>
      </c>
      <c r="Q41" s="2" t="s">
        <v>1014</v>
      </c>
      <c r="R41" s="2" t="s">
        <v>299</v>
      </c>
      <c r="S41" s="2" t="s">
        <v>536</v>
      </c>
      <c r="T41" s="2" t="s">
        <v>537</v>
      </c>
      <c r="U41" s="2" t="s">
        <v>1015</v>
      </c>
      <c r="V41" s="2" t="s">
        <v>815</v>
      </c>
      <c r="W41" s="2" t="s">
        <v>993</v>
      </c>
      <c r="X41" s="2" t="s">
        <v>1016</v>
      </c>
      <c r="Y41" s="2" t="s">
        <v>1017</v>
      </c>
      <c r="Z41" s="2" t="s">
        <v>543</v>
      </c>
      <c r="AA41" s="2" t="s">
        <v>720</v>
      </c>
      <c r="AB41" s="2" t="s">
        <v>36</v>
      </c>
      <c r="AC41" s="2" t="s">
        <v>1018</v>
      </c>
      <c r="AD41" s="2" t="s">
        <v>547</v>
      </c>
      <c r="AE41" s="18">
        <f>IF(ISNUMBER(SEARCH('Scenario Definitions'!$C$5,N41)),1,0)</f>
        <v>1</v>
      </c>
      <c r="AF41" s="18">
        <f>IFERROR(VLOOKUP(R41,'Assumptions &amp; Inputs'!$A$31:$F$69,3,FALSE),0)</f>
        <v>1</v>
      </c>
      <c r="AG41" s="18">
        <f>IFERROR(VLOOKUP(R41,'Assumptions &amp; Inputs'!$A$31:$F$69,4,FALSE),0)</f>
        <v>1</v>
      </c>
      <c r="AH41" s="19">
        <f>IFERROR(VLOOKUP(R41,'Assumptions &amp; Inputs'!$A$31:$F$69,5,FALSE),0)</f>
        <v>1</v>
      </c>
      <c r="AI41" s="11">
        <v>90</v>
      </c>
      <c r="AJ41" s="11">
        <v>120</v>
      </c>
      <c r="AK41" s="11">
        <v>180</v>
      </c>
      <c r="AL41" s="11">
        <v>0</v>
      </c>
      <c r="AM41" s="11">
        <v>0</v>
      </c>
      <c r="AN41" s="11">
        <v>0</v>
      </c>
      <c r="AO41" s="37">
        <f t="shared" si="18"/>
        <v>90</v>
      </c>
      <c r="AP41" s="18">
        <f t="shared" si="19"/>
        <v>120</v>
      </c>
      <c r="AQ41" s="19">
        <f t="shared" si="20"/>
        <v>180</v>
      </c>
      <c r="AR41" s="58" t="s">
        <v>416</v>
      </c>
      <c r="AS41" s="33">
        <f>IFERROR(VLOOKUP(AR41,'Assumptions &amp; Inputs'!$A$73:$I$100,9,FALSE),0)</f>
        <v>145</v>
      </c>
      <c r="AT41" s="26">
        <f t="shared" si="21"/>
        <v>13050</v>
      </c>
      <c r="AU41" s="26">
        <f t="shared" si="22"/>
        <v>17400</v>
      </c>
      <c r="AV41" s="27">
        <f t="shared" si="23"/>
        <v>26100</v>
      </c>
      <c r="AW41" s="57">
        <v>3000</v>
      </c>
      <c r="AX41" s="57">
        <v>8000</v>
      </c>
      <c r="AY41" s="57">
        <v>20000</v>
      </c>
      <c r="AZ41" s="33">
        <f>IFERROR(VLOOKUP(C41,'Assumptions &amp; Inputs'!$A$104:$B$107,2,FALSE),0)</f>
        <v>0.35</v>
      </c>
      <c r="BA41" s="26">
        <f t="shared" si="24"/>
        <v>4567.5</v>
      </c>
      <c r="BB41" s="26">
        <f t="shared" si="25"/>
        <v>6090</v>
      </c>
      <c r="BC41" s="27">
        <f t="shared" si="26"/>
        <v>9135</v>
      </c>
      <c r="BD41" s="57" t="s">
        <v>209</v>
      </c>
      <c r="BE41" s="33">
        <f>IF(BD41="Yes",(AT41+AW41)*VLOOKUP("IN-34",'Assumptions &amp; Inputs'!$A$31:$F$69,3,FALSE),0)</f>
        <v>802.5</v>
      </c>
      <c r="BF41" s="26">
        <f>IF(BD41="Yes",(AU41+AX41)*VLOOKUP("IN-34",'Assumptions &amp; Inputs'!$A$31:$F$69,4,FALSE),0)</f>
        <v>1905</v>
      </c>
      <c r="BG41" s="26">
        <f>IF(BD41="Yes",(AV41+AY41)*VLOOKUP("IN-34",'Assumptions &amp; Inputs'!$A$31:$F$69,5,FALSE),0)</f>
        <v>6915</v>
      </c>
      <c r="BH41" s="26">
        <f t="shared" si="27"/>
        <v>21420</v>
      </c>
      <c r="BI41" s="26">
        <f t="shared" si="28"/>
        <v>33395</v>
      </c>
      <c r="BJ41" s="27">
        <f t="shared" si="29"/>
        <v>62150</v>
      </c>
      <c r="BK41" s="58" t="s">
        <v>548</v>
      </c>
      <c r="BL41" s="58" t="s">
        <v>549</v>
      </c>
      <c r="BM41" s="58" t="s">
        <v>720</v>
      </c>
      <c r="BN41" s="58" t="s">
        <v>550</v>
      </c>
      <c r="BO41" s="5">
        <f t="shared" si="30"/>
        <v>1</v>
      </c>
      <c r="BP41" s="5">
        <f t="shared" si="31"/>
        <v>1</v>
      </c>
      <c r="BQ41" s="5">
        <f t="shared" si="32"/>
        <v>1</v>
      </c>
      <c r="BR41" s="5">
        <f t="shared" si="33"/>
        <v>1</v>
      </c>
      <c r="BS41" s="5">
        <f t="shared" si="34"/>
        <v>0</v>
      </c>
      <c r="BT41" s="5">
        <f t="shared" si="35"/>
        <v>0</v>
      </c>
      <c r="BU41" s="4">
        <f>IF(BO41=1,((AI41+(IF(R41="IN-07",'Assumptions &amp; Inputs'!$C$66,AF41))*AL41)*AS41)+AW41+(((AI41+(IF(R41="IN-07",'Assumptions &amp; Inputs'!$C$66,AF41))*AL41)*AS41)*AZ41)+IF(BD41="Yes",(((AI41+(IF(R41="IN-07",'Assumptions &amp; Inputs'!$C$66,AF41))*AL41)*AS41)+AW41)*VLOOKUP("IN-34",'Assumptions &amp; Inputs'!$A$31:$F$69,3,FALSE),0),0)</f>
        <v>21420</v>
      </c>
      <c r="BV41" s="4">
        <f>IF(BO41=1,((AJ41+(IF(R41="IN-07",'Assumptions &amp; Inputs'!$D$66,AG41))*AM41)*AS41)+AX41+(((AJ41+(IF(R41="IN-07",'Assumptions &amp; Inputs'!$D$66,AG41))*AM41)*AS41)*AZ41)+IF(BD41="Yes",(((AJ41+(IF(R41="IN-07",'Assumptions &amp; Inputs'!$D$66,AG41))*AM41)*AS41)+AX41)*VLOOKUP("IN-34",'Assumptions &amp; Inputs'!$A$31:$F$69,4,FALSE),0),0)</f>
        <v>33395</v>
      </c>
      <c r="BW41" s="4">
        <f>IF(BO41=1,((AK41+(IF(R41="IN-07",'Assumptions &amp; Inputs'!$E$66,AH41))*AN41)*AS41)+AY41+(((AK41+(IF(R41="IN-07",'Assumptions &amp; Inputs'!$E$66,AH41))*AN41)*AS41)*AZ41)+IF(BD41="Yes",(((AK41+(IF(R41="IN-07",'Assumptions &amp; Inputs'!$E$66,AH41))*AN41)*AS41)+AY41)*VLOOKUP("IN-34",'Assumptions &amp; Inputs'!$A$31:$F$69,5,FALSE),0),0)</f>
        <v>62150</v>
      </c>
      <c r="BX41" s="4">
        <f>IF(BP41=1,((AI41+(IF(R41="IN-07",'Assumptions &amp; Inputs'!$C$66,AF41))*AL41)*AS41)+AW41+(((AI41+(IF(R41="IN-07",'Assumptions &amp; Inputs'!$C$66,AF41))*AL41)*AS41)*AZ41)+IF(BD41="Yes",(((AI41+(IF(R41="IN-07",'Assumptions &amp; Inputs'!$C$66,AF41))*AL41)*AS41)+AW41)*VLOOKUP("IN-34",'Assumptions &amp; Inputs'!$A$31:$F$69,3,FALSE),0),0)</f>
        <v>21420</v>
      </c>
      <c r="BY41" s="4">
        <f>IF(BP41=1,((AJ41+(IF(R41="IN-07",'Assumptions &amp; Inputs'!$D$66,AG41))*AM41)*AS41)+AX41+(((AJ41+(IF(R41="IN-07",'Assumptions &amp; Inputs'!$D$66,AG41))*AM41)*AS41)*AZ41)+IF(BD41="Yes",(((AJ41+(IF(R41="IN-07",'Assumptions &amp; Inputs'!$D$66,AG41))*AM41)*AS41)+AX41)*VLOOKUP("IN-34",'Assumptions &amp; Inputs'!$A$31:$F$69,4,FALSE),0),0)</f>
        <v>33395</v>
      </c>
      <c r="BZ41" s="4">
        <f>IF(BP41=1,((AK41+(IF(R41="IN-07",'Assumptions &amp; Inputs'!$E$66,AH41))*AN41)*AS41)+AY41+(((AK41+(IF(R41="IN-07",'Assumptions &amp; Inputs'!$E$66,AH41))*AN41)*AS41)*AZ41)+IF(BD41="Yes",(((AK41+(IF(R41="IN-07",'Assumptions &amp; Inputs'!$E$66,AH41))*AN41)*AS41)+AY41)*VLOOKUP("IN-34",'Assumptions &amp; Inputs'!$A$31:$F$69,5,FALSE),0),0)</f>
        <v>62150</v>
      </c>
      <c r="CA41" s="4">
        <f>IF(BQ41=1,((AI41+(IF(R41="IN-07",'Assumptions &amp; Inputs'!$C$65,AF41))*AL41)*AS41)+AW41+(((AI41+(IF(R41="IN-07",'Assumptions &amp; Inputs'!$C$65,AF41))*AL41)*AS41)*AZ41)+IF(BD41="Yes",(((AI41+(IF(R41="IN-07",'Assumptions &amp; Inputs'!$C$65,AF41))*AL41)*AS41)+AW41)*VLOOKUP("IN-34",'Assumptions &amp; Inputs'!$A$31:$F$69,3,FALSE),0),0)</f>
        <v>21420</v>
      </c>
      <c r="CB41" s="4">
        <f>IF(BQ41=1,((AJ41+(IF(R41="IN-07",'Assumptions &amp; Inputs'!$D$65,AG41))*AM41)*AS41)+AX41+(((AJ41+(IF(R41="IN-07",'Assumptions &amp; Inputs'!$D$65,AG41))*AM41)*AS41)*AZ41)+IF(BD41="Yes",(((AJ41+(IF(R41="IN-07",'Assumptions &amp; Inputs'!$D$65,AG41))*AM41)*AS41)+AX41)*VLOOKUP("IN-34",'Assumptions &amp; Inputs'!$A$31:$F$69,4,FALSE),0),0)</f>
        <v>33395</v>
      </c>
      <c r="CC41" s="4">
        <f>IF(BQ41=1,((AK41+(IF(R41="IN-07",'Assumptions &amp; Inputs'!$E$65,AH41))*AN41)*AS41)+AY41+(((AK41+(IF(R41="IN-07",'Assumptions &amp; Inputs'!$E$65,AH41))*AN41)*AS41)*AZ41)+IF(BD41="Yes",(((AK41+(IF(R41="IN-07",'Assumptions &amp; Inputs'!$E$65,AH41))*AN41)*AS41)+AY41)*VLOOKUP("IN-34",'Assumptions &amp; Inputs'!$A$31:$F$69,5,FALSE),0),0)</f>
        <v>62150</v>
      </c>
      <c r="CD41" s="4">
        <f>IF(BR41=1,((AI41+(IF(R41="IN-07",'Assumptions &amp; Inputs'!$C$65,AF41))*AL41)*AS41)+AW41+(((AI41+(IF(R41="IN-07",'Assumptions &amp; Inputs'!$C$65,AF41))*AL41)*AS41)*AZ41)+IF(BD41="Yes",(((AI41+(IF(R41="IN-07",'Assumptions &amp; Inputs'!$C$65,AF41))*AL41)*AS41)+AW41)*VLOOKUP("IN-34",'Assumptions &amp; Inputs'!$A$31:$F$69,3,FALSE),0),0)</f>
        <v>21420</v>
      </c>
      <c r="CE41" s="4">
        <f>IF(BR41=1,((AJ41+(IF(R41="IN-07",'Assumptions &amp; Inputs'!$D$65,AG41))*AM41)*AS41)+AX41+(((AJ41+(IF(R41="IN-07",'Assumptions &amp; Inputs'!$D$65,AG41))*AM41)*AS41)*AZ41)+IF(BD41="Yes",(((AJ41+(IF(R41="IN-07",'Assumptions &amp; Inputs'!$D$65,AG41))*AM41)*AS41)+AX41)*VLOOKUP("IN-34",'Assumptions &amp; Inputs'!$A$31:$F$69,4,FALSE),0),0)</f>
        <v>33395</v>
      </c>
      <c r="CF41" s="4">
        <f>IF(BR41=1,((AK41+(IF(R41="IN-07",'Assumptions &amp; Inputs'!$E$65,AH41))*AN41)*AS41)+AY41+(((AK41+(IF(R41="IN-07",'Assumptions &amp; Inputs'!$E$65,AH41))*AN41)*AS41)*AZ41)+IF(BD41="Yes",(((AK41+(IF(R41="IN-07",'Assumptions &amp; Inputs'!$E$65,AH41))*AN41)*AS41)+AY41)*VLOOKUP("IN-34",'Assumptions &amp; Inputs'!$A$31:$F$69,5,FALSE),0),0)</f>
        <v>62150</v>
      </c>
      <c r="CG41" s="4">
        <f>IF(BS41=1,((AI41+(IF(R41="IN-07",0,AF41))*AL41)*AS41)+AW41+(((AI41+(IF(R41="IN-07",0,AF41))*AL41)*AS41)*AZ41)+IF(BD41="Yes",(((AI41+(IF(R41="IN-07",0,AF41))*AL41)*AS41)+AW41)*VLOOKUP("IN-34",'Assumptions &amp; Inputs'!$A$31:$F$69,3,FALSE),0),0)</f>
        <v>0</v>
      </c>
      <c r="CH41" s="4">
        <f>IF(BS41=1,((AJ41+(IF(R41="IN-07",0,AG41))*AM41)*AS41)+AX41+(((AJ41+(IF(R41="IN-07",0,AG41))*AM41)*AS41)*AZ41)+IF(BD41="Yes",(((AJ41+(IF(R41="IN-07",0,AG41))*AM41)*AS41)+AX41)*VLOOKUP("IN-34",'Assumptions &amp; Inputs'!$A$31:$F$69,4,FALSE),0),0)</f>
        <v>0</v>
      </c>
      <c r="CI41" s="4">
        <f>IF(BS41=1,((AK41+(IF(R41="IN-07",0,AH41))*AN41)*AS41)+AY41+(((AK41+(IF(R41="IN-07",0,AH41))*AN41)*AS41)*AZ41)+IF(BD41="Yes",(((AK41+(IF(R41="IN-07",0,AH41))*AN41)*AS41)+AY41)*VLOOKUP("IN-34",'Assumptions &amp; Inputs'!$A$31:$F$69,5,FALSE),0),0)</f>
        <v>0</v>
      </c>
      <c r="CJ41" s="4">
        <f>IF(BT41=1,((AI41+(IF(R41="IN-07",0,AF41))*AL41)*AS41)+AW41+(((AI41+(IF(R41="IN-07",0,AF41))*AL41)*AS41)*AZ41)+IF(BD41="Yes",(((AI41+(IF(R41="IN-07",0,AF41))*AL41)*AS41)+AW41)*VLOOKUP("IN-34",'Assumptions &amp; Inputs'!$A$31:$F$69,3,FALSE),0),0)</f>
        <v>0</v>
      </c>
      <c r="CK41" s="4">
        <f>IF(BT41=1,((AJ41+(IF(R41="IN-07",0,AG41))*AM41)*AS41)+AX41+(((AJ41+(IF(R41="IN-07",0,AG41))*AM41)*AS41)*AZ41)+IF(BD41="Yes",(((AJ41+(IF(R41="IN-07",0,AG41))*AM41)*AS41)+AX41)*VLOOKUP("IN-34",'Assumptions &amp; Inputs'!$A$31:$F$69,4,FALSE),0),0)</f>
        <v>0</v>
      </c>
      <c r="CL41" s="4">
        <f>IF(BT41=1,((AK41+(IF(R41="IN-07",0,AH41))*AN41)*AS41)+AY41+(((AK41+(IF(R41="IN-07",0,AH41))*AN41)*AS41)*AZ41)+IF(BD41="Yes",(((AK41+(IF(R41="IN-07",0,AH41))*AN41)*AS41)+AY41)*VLOOKUP("IN-34",'Assumptions &amp; Inputs'!$A$31:$F$69,5,FALSE),0),0)</f>
        <v>0</v>
      </c>
    </row>
    <row r="42" spans="1:90" ht="43.5" x14ac:dyDescent="0.35">
      <c r="A42" s="2" t="s">
        <v>1019</v>
      </c>
      <c r="B42" s="2" t="s">
        <v>1020</v>
      </c>
      <c r="C42" s="2" t="s">
        <v>48</v>
      </c>
      <c r="D42" s="2" t="s">
        <v>57</v>
      </c>
      <c r="E42" s="2" t="s">
        <v>1021</v>
      </c>
      <c r="F42" s="2" t="s">
        <v>1022</v>
      </c>
      <c r="G42" s="2" t="s">
        <v>1023</v>
      </c>
      <c r="H42" s="2" t="s">
        <v>1024</v>
      </c>
      <c r="I42" s="2" t="s">
        <v>810</v>
      </c>
      <c r="J42" s="2" t="s">
        <v>1025</v>
      </c>
      <c r="K42" s="2" t="s">
        <v>1026</v>
      </c>
      <c r="L42" s="2" t="s">
        <v>810</v>
      </c>
      <c r="M42" s="2" t="s">
        <v>532</v>
      </c>
      <c r="N42" s="2" t="s">
        <v>180</v>
      </c>
      <c r="O42" s="2" t="s">
        <v>813</v>
      </c>
      <c r="P42" s="2" t="s">
        <v>593</v>
      </c>
      <c r="Q42" s="2" t="s">
        <v>1027</v>
      </c>
      <c r="R42" s="2" t="s">
        <v>303</v>
      </c>
      <c r="S42" s="2" t="s">
        <v>1028</v>
      </c>
      <c r="T42" s="2" t="s">
        <v>1029</v>
      </c>
      <c r="U42" s="2" t="s">
        <v>1030</v>
      </c>
      <c r="V42" s="2" t="s">
        <v>815</v>
      </c>
      <c r="W42" s="2" t="s">
        <v>993</v>
      </c>
      <c r="X42" s="2" t="s">
        <v>817</v>
      </c>
      <c r="Y42" s="2" t="s">
        <v>748</v>
      </c>
      <c r="Z42" s="2" t="s">
        <v>543</v>
      </c>
      <c r="AA42" s="2" t="s">
        <v>1031</v>
      </c>
      <c r="AB42" s="2" t="s">
        <v>545</v>
      </c>
      <c r="AC42" s="2" t="s">
        <v>1032</v>
      </c>
      <c r="AD42" s="2" t="s">
        <v>1033</v>
      </c>
      <c r="AE42" s="18">
        <f>IF(ISNUMBER(SEARCH('Scenario Definitions'!$C$5,N42)),1,0)</f>
        <v>1</v>
      </c>
      <c r="AF42" s="18">
        <f>IFERROR(VLOOKUP(R42,'Assumptions &amp; Inputs'!$A$31:$F$69,3,FALSE),0)</f>
        <v>6</v>
      </c>
      <c r="AG42" s="18">
        <f>IFERROR(VLOOKUP(R42,'Assumptions &amp; Inputs'!$A$31:$F$69,4,FALSE),0)</f>
        <v>12</v>
      </c>
      <c r="AH42" s="19">
        <f>IFERROR(VLOOKUP(R42,'Assumptions &amp; Inputs'!$A$31:$F$69,5,FALSE),0)</f>
        <v>25</v>
      </c>
      <c r="AI42" s="11">
        <v>0</v>
      </c>
      <c r="AJ42" s="11">
        <v>0</v>
      </c>
      <c r="AK42" s="11">
        <v>0</v>
      </c>
      <c r="AL42" s="11">
        <v>9</v>
      </c>
      <c r="AM42" s="11">
        <v>12</v>
      </c>
      <c r="AN42" s="11">
        <v>18</v>
      </c>
      <c r="AO42" s="37">
        <f t="shared" si="18"/>
        <v>54</v>
      </c>
      <c r="AP42" s="18">
        <f t="shared" si="19"/>
        <v>144</v>
      </c>
      <c r="AQ42" s="19">
        <f t="shared" si="20"/>
        <v>450</v>
      </c>
      <c r="AR42" s="58" t="s">
        <v>419</v>
      </c>
      <c r="AS42" s="33">
        <f>IFERROR(VLOOKUP(AR42,'Assumptions &amp; Inputs'!$A$73:$I$100,9,FALSE),0)</f>
        <v>120</v>
      </c>
      <c r="AT42" s="26">
        <f t="shared" si="21"/>
        <v>6480</v>
      </c>
      <c r="AU42" s="26">
        <f t="shared" si="22"/>
        <v>17280</v>
      </c>
      <c r="AV42" s="27">
        <f t="shared" si="23"/>
        <v>54000</v>
      </c>
      <c r="AW42" s="57">
        <v>0</v>
      </c>
      <c r="AX42" s="57">
        <v>0</v>
      </c>
      <c r="AY42" s="57">
        <v>0</v>
      </c>
      <c r="AZ42" s="33">
        <f>IFERROR(VLOOKUP(C42,'Assumptions &amp; Inputs'!$A$104:$B$107,2,FALSE),0)</f>
        <v>0.35</v>
      </c>
      <c r="BA42" s="26">
        <f t="shared" si="24"/>
        <v>2268</v>
      </c>
      <c r="BB42" s="26">
        <f t="shared" si="25"/>
        <v>6048</v>
      </c>
      <c r="BC42" s="27">
        <f t="shared" si="26"/>
        <v>18900</v>
      </c>
      <c r="BD42" s="57" t="s">
        <v>209</v>
      </c>
      <c r="BE42" s="33">
        <f>IF(BD42="Yes",(AT42+AW42)*VLOOKUP("IN-34",'Assumptions &amp; Inputs'!$A$31:$F$69,3,FALSE),0)</f>
        <v>324</v>
      </c>
      <c r="BF42" s="26">
        <f>IF(BD42="Yes",(AU42+AX42)*VLOOKUP("IN-34",'Assumptions &amp; Inputs'!$A$31:$F$69,4,FALSE),0)</f>
        <v>1296</v>
      </c>
      <c r="BG42" s="26">
        <f>IF(BD42="Yes",(AV42+AY42)*VLOOKUP("IN-34",'Assumptions &amp; Inputs'!$A$31:$F$69,5,FALSE),0)</f>
        <v>8100</v>
      </c>
      <c r="BH42" s="26">
        <f t="shared" si="27"/>
        <v>9072</v>
      </c>
      <c r="BI42" s="26">
        <f t="shared" si="28"/>
        <v>24624</v>
      </c>
      <c r="BJ42" s="27">
        <f t="shared" si="29"/>
        <v>81000</v>
      </c>
      <c r="BK42" s="58" t="s">
        <v>548</v>
      </c>
      <c r="BL42" s="58" t="s">
        <v>549</v>
      </c>
      <c r="BM42" s="58" t="s">
        <v>1031</v>
      </c>
      <c r="BN42" s="58" t="s">
        <v>550</v>
      </c>
      <c r="BO42" s="5">
        <f t="shared" si="30"/>
        <v>1</v>
      </c>
      <c r="BP42" s="5">
        <f t="shared" si="31"/>
        <v>1</v>
      </c>
      <c r="BQ42" s="5">
        <f t="shared" si="32"/>
        <v>1</v>
      </c>
      <c r="BR42" s="5">
        <f t="shared" si="33"/>
        <v>1</v>
      </c>
      <c r="BS42" s="5">
        <f t="shared" si="34"/>
        <v>0</v>
      </c>
      <c r="BT42" s="5">
        <f t="shared" si="35"/>
        <v>0</v>
      </c>
      <c r="BU42" s="4">
        <f>IF(BO42=1,((AI42+(IF(R42="IN-07",'Assumptions &amp; Inputs'!$C$66,AF42))*AL42)*AS42)+AW42+(((AI42+(IF(R42="IN-07",'Assumptions &amp; Inputs'!$C$66,AF42))*AL42)*AS42)*AZ42)+IF(BD42="Yes",(((AI42+(IF(R42="IN-07",'Assumptions &amp; Inputs'!$C$66,AF42))*AL42)*AS42)+AW42)*VLOOKUP("IN-34",'Assumptions &amp; Inputs'!$A$31:$F$69,3,FALSE),0),0)</f>
        <v>9072</v>
      </c>
      <c r="BV42" s="4">
        <f>IF(BO42=1,((AJ42+(IF(R42="IN-07",'Assumptions &amp; Inputs'!$D$66,AG42))*AM42)*AS42)+AX42+(((AJ42+(IF(R42="IN-07",'Assumptions &amp; Inputs'!$D$66,AG42))*AM42)*AS42)*AZ42)+IF(BD42="Yes",(((AJ42+(IF(R42="IN-07",'Assumptions &amp; Inputs'!$D$66,AG42))*AM42)*AS42)+AX42)*VLOOKUP("IN-34",'Assumptions &amp; Inputs'!$A$31:$F$69,4,FALSE),0),0)</f>
        <v>24624</v>
      </c>
      <c r="BW42" s="4">
        <f>IF(BO42=1,((AK42+(IF(R42="IN-07",'Assumptions &amp; Inputs'!$E$66,AH42))*AN42)*AS42)+AY42+(((AK42+(IF(R42="IN-07",'Assumptions &amp; Inputs'!$E$66,AH42))*AN42)*AS42)*AZ42)+IF(BD42="Yes",(((AK42+(IF(R42="IN-07",'Assumptions &amp; Inputs'!$E$66,AH42))*AN42)*AS42)+AY42)*VLOOKUP("IN-34",'Assumptions &amp; Inputs'!$A$31:$F$69,5,FALSE),0),0)</f>
        <v>81000</v>
      </c>
      <c r="BX42" s="4">
        <f>IF(BP42=1,((AI42+(IF(R42="IN-07",'Assumptions &amp; Inputs'!$C$66,AF42))*AL42)*AS42)+AW42+(((AI42+(IF(R42="IN-07",'Assumptions &amp; Inputs'!$C$66,AF42))*AL42)*AS42)*AZ42)+IF(BD42="Yes",(((AI42+(IF(R42="IN-07",'Assumptions &amp; Inputs'!$C$66,AF42))*AL42)*AS42)+AW42)*VLOOKUP("IN-34",'Assumptions &amp; Inputs'!$A$31:$F$69,3,FALSE),0),0)</f>
        <v>9072</v>
      </c>
      <c r="BY42" s="4">
        <f>IF(BP42=1,((AJ42+(IF(R42="IN-07",'Assumptions &amp; Inputs'!$D$66,AG42))*AM42)*AS42)+AX42+(((AJ42+(IF(R42="IN-07",'Assumptions &amp; Inputs'!$D$66,AG42))*AM42)*AS42)*AZ42)+IF(BD42="Yes",(((AJ42+(IF(R42="IN-07",'Assumptions &amp; Inputs'!$D$66,AG42))*AM42)*AS42)+AX42)*VLOOKUP("IN-34",'Assumptions &amp; Inputs'!$A$31:$F$69,4,FALSE),0),0)</f>
        <v>24624</v>
      </c>
      <c r="BZ42" s="4">
        <f>IF(BP42=1,((AK42+(IF(R42="IN-07",'Assumptions &amp; Inputs'!$E$66,AH42))*AN42)*AS42)+AY42+(((AK42+(IF(R42="IN-07",'Assumptions &amp; Inputs'!$E$66,AH42))*AN42)*AS42)*AZ42)+IF(BD42="Yes",(((AK42+(IF(R42="IN-07",'Assumptions &amp; Inputs'!$E$66,AH42))*AN42)*AS42)+AY42)*VLOOKUP("IN-34",'Assumptions &amp; Inputs'!$A$31:$F$69,5,FALSE),0),0)</f>
        <v>81000</v>
      </c>
      <c r="CA42" s="4">
        <f>IF(BQ42=1,((AI42+(IF(R42="IN-07",'Assumptions &amp; Inputs'!$C$65,AF42))*AL42)*AS42)+AW42+(((AI42+(IF(R42="IN-07",'Assumptions &amp; Inputs'!$C$65,AF42))*AL42)*AS42)*AZ42)+IF(BD42="Yes",(((AI42+(IF(R42="IN-07",'Assumptions &amp; Inputs'!$C$65,AF42))*AL42)*AS42)+AW42)*VLOOKUP("IN-34",'Assumptions &amp; Inputs'!$A$31:$F$69,3,FALSE),0),0)</f>
        <v>9072</v>
      </c>
      <c r="CB42" s="4">
        <f>IF(BQ42=1,((AJ42+(IF(R42="IN-07",'Assumptions &amp; Inputs'!$D$65,AG42))*AM42)*AS42)+AX42+(((AJ42+(IF(R42="IN-07",'Assumptions &amp; Inputs'!$D$65,AG42))*AM42)*AS42)*AZ42)+IF(BD42="Yes",(((AJ42+(IF(R42="IN-07",'Assumptions &amp; Inputs'!$D$65,AG42))*AM42)*AS42)+AX42)*VLOOKUP("IN-34",'Assumptions &amp; Inputs'!$A$31:$F$69,4,FALSE),0),0)</f>
        <v>24624</v>
      </c>
      <c r="CC42" s="4">
        <f>IF(BQ42=1,((AK42+(IF(R42="IN-07",'Assumptions &amp; Inputs'!$E$65,AH42))*AN42)*AS42)+AY42+(((AK42+(IF(R42="IN-07",'Assumptions &amp; Inputs'!$E$65,AH42))*AN42)*AS42)*AZ42)+IF(BD42="Yes",(((AK42+(IF(R42="IN-07",'Assumptions &amp; Inputs'!$E$65,AH42))*AN42)*AS42)+AY42)*VLOOKUP("IN-34",'Assumptions &amp; Inputs'!$A$31:$F$69,5,FALSE),0),0)</f>
        <v>81000</v>
      </c>
      <c r="CD42" s="4">
        <f>IF(BR42=1,((AI42+(IF(R42="IN-07",'Assumptions &amp; Inputs'!$C$65,AF42))*AL42)*AS42)+AW42+(((AI42+(IF(R42="IN-07",'Assumptions &amp; Inputs'!$C$65,AF42))*AL42)*AS42)*AZ42)+IF(BD42="Yes",(((AI42+(IF(R42="IN-07",'Assumptions &amp; Inputs'!$C$65,AF42))*AL42)*AS42)+AW42)*VLOOKUP("IN-34",'Assumptions &amp; Inputs'!$A$31:$F$69,3,FALSE),0),0)</f>
        <v>9072</v>
      </c>
      <c r="CE42" s="4">
        <f>IF(BR42=1,((AJ42+(IF(R42="IN-07",'Assumptions &amp; Inputs'!$D$65,AG42))*AM42)*AS42)+AX42+(((AJ42+(IF(R42="IN-07",'Assumptions &amp; Inputs'!$D$65,AG42))*AM42)*AS42)*AZ42)+IF(BD42="Yes",(((AJ42+(IF(R42="IN-07",'Assumptions &amp; Inputs'!$D$65,AG42))*AM42)*AS42)+AX42)*VLOOKUP("IN-34",'Assumptions &amp; Inputs'!$A$31:$F$69,4,FALSE),0),0)</f>
        <v>24624</v>
      </c>
      <c r="CF42" s="4">
        <f>IF(BR42=1,((AK42+(IF(R42="IN-07",'Assumptions &amp; Inputs'!$E$65,AH42))*AN42)*AS42)+AY42+(((AK42+(IF(R42="IN-07",'Assumptions &amp; Inputs'!$E$65,AH42))*AN42)*AS42)*AZ42)+IF(BD42="Yes",(((AK42+(IF(R42="IN-07",'Assumptions &amp; Inputs'!$E$65,AH42))*AN42)*AS42)+AY42)*VLOOKUP("IN-34",'Assumptions &amp; Inputs'!$A$31:$F$69,5,FALSE),0),0)</f>
        <v>81000</v>
      </c>
      <c r="CG42" s="4">
        <f>IF(BS42=1,((AI42+(IF(R42="IN-07",0,AF42))*AL42)*AS42)+AW42+(((AI42+(IF(R42="IN-07",0,AF42))*AL42)*AS42)*AZ42)+IF(BD42="Yes",(((AI42+(IF(R42="IN-07",0,AF42))*AL42)*AS42)+AW42)*VLOOKUP("IN-34",'Assumptions &amp; Inputs'!$A$31:$F$69,3,FALSE),0),0)</f>
        <v>0</v>
      </c>
      <c r="CH42" s="4">
        <f>IF(BS42=1,((AJ42+(IF(R42="IN-07",0,AG42))*AM42)*AS42)+AX42+(((AJ42+(IF(R42="IN-07",0,AG42))*AM42)*AS42)*AZ42)+IF(BD42="Yes",(((AJ42+(IF(R42="IN-07",0,AG42))*AM42)*AS42)+AX42)*VLOOKUP("IN-34",'Assumptions &amp; Inputs'!$A$31:$F$69,4,FALSE),0),0)</f>
        <v>0</v>
      </c>
      <c r="CI42" s="4">
        <f>IF(BS42=1,((AK42+(IF(R42="IN-07",0,AH42))*AN42)*AS42)+AY42+(((AK42+(IF(R42="IN-07",0,AH42))*AN42)*AS42)*AZ42)+IF(BD42="Yes",(((AK42+(IF(R42="IN-07",0,AH42))*AN42)*AS42)+AY42)*VLOOKUP("IN-34",'Assumptions &amp; Inputs'!$A$31:$F$69,5,FALSE),0),0)</f>
        <v>0</v>
      </c>
      <c r="CJ42" s="4">
        <f>IF(BT42=1,((AI42+(IF(R42="IN-07",0,AF42))*AL42)*AS42)+AW42+(((AI42+(IF(R42="IN-07",0,AF42))*AL42)*AS42)*AZ42)+IF(BD42="Yes",(((AI42+(IF(R42="IN-07",0,AF42))*AL42)*AS42)+AW42)*VLOOKUP("IN-34",'Assumptions &amp; Inputs'!$A$31:$F$69,3,FALSE),0),0)</f>
        <v>0</v>
      </c>
      <c r="CK42" s="4">
        <f>IF(BT42=1,((AJ42+(IF(R42="IN-07",0,AG42))*AM42)*AS42)+AX42+(((AJ42+(IF(R42="IN-07",0,AG42))*AM42)*AS42)*AZ42)+IF(BD42="Yes",(((AJ42+(IF(R42="IN-07",0,AG42))*AM42)*AS42)+AX42)*VLOOKUP("IN-34",'Assumptions &amp; Inputs'!$A$31:$F$69,4,FALSE),0),0)</f>
        <v>0</v>
      </c>
      <c r="CL42" s="4">
        <f>IF(BT42=1,((AK42+(IF(R42="IN-07",0,AH42))*AN42)*AS42)+AY42+(((AK42+(IF(R42="IN-07",0,AH42))*AN42)*AS42)*AZ42)+IF(BD42="Yes",(((AK42+(IF(R42="IN-07",0,AH42))*AN42)*AS42)+AY42)*VLOOKUP("IN-34",'Assumptions &amp; Inputs'!$A$31:$F$69,5,FALSE),0),0)</f>
        <v>0</v>
      </c>
    </row>
    <row r="43" spans="1:90" ht="43.5" x14ac:dyDescent="0.35">
      <c r="A43" s="2" t="s">
        <v>1034</v>
      </c>
      <c r="B43" s="2" t="s">
        <v>1035</v>
      </c>
      <c r="C43" s="2" t="s">
        <v>48</v>
      </c>
      <c r="D43" s="2" t="s">
        <v>57</v>
      </c>
      <c r="E43" s="2" t="s">
        <v>1036</v>
      </c>
      <c r="F43" s="2" t="s">
        <v>1037</v>
      </c>
      <c r="G43" s="2" t="s">
        <v>1038</v>
      </c>
      <c r="H43" s="2" t="s">
        <v>1039</v>
      </c>
      <c r="I43" s="2" t="s">
        <v>810</v>
      </c>
      <c r="J43" s="2" t="s">
        <v>1040</v>
      </c>
      <c r="K43" s="2" t="s">
        <v>1041</v>
      </c>
      <c r="L43" s="2" t="s">
        <v>810</v>
      </c>
      <c r="M43" s="2" t="s">
        <v>532</v>
      </c>
      <c r="N43" s="2" t="s">
        <v>180</v>
      </c>
      <c r="O43" s="2" t="s">
        <v>813</v>
      </c>
      <c r="P43" s="2" t="s">
        <v>176</v>
      </c>
      <c r="Q43" s="2" t="s">
        <v>744</v>
      </c>
      <c r="R43" s="2" t="s">
        <v>361</v>
      </c>
      <c r="S43" s="2" t="s">
        <v>745</v>
      </c>
      <c r="T43" s="2" t="s">
        <v>746</v>
      </c>
      <c r="U43" s="2" t="s">
        <v>1042</v>
      </c>
      <c r="V43" s="2" t="s">
        <v>1043</v>
      </c>
      <c r="W43" s="2" t="s">
        <v>540</v>
      </c>
      <c r="X43" s="2" t="s">
        <v>1044</v>
      </c>
      <c r="Y43" s="2" t="s">
        <v>748</v>
      </c>
      <c r="Z43" s="2" t="s">
        <v>543</v>
      </c>
      <c r="AA43" s="2" t="s">
        <v>749</v>
      </c>
      <c r="AB43" s="2" t="s">
        <v>545</v>
      </c>
      <c r="AC43" s="2" t="s">
        <v>750</v>
      </c>
      <c r="AD43" s="2" t="s">
        <v>751</v>
      </c>
      <c r="AE43" s="18">
        <f>IF(ISNUMBER(SEARCH('Scenario Definitions'!$C$5,N43)),1,0)</f>
        <v>1</v>
      </c>
      <c r="AF43" s="18">
        <f>IFERROR(VLOOKUP(R43,'Assumptions &amp; Inputs'!$A$31:$F$69,3,FALSE),0)</f>
        <v>2</v>
      </c>
      <c r="AG43" s="18">
        <f>IFERROR(VLOOKUP(R43,'Assumptions &amp; Inputs'!$A$31:$F$69,4,FALSE),0)</f>
        <v>4</v>
      </c>
      <c r="AH43" s="19">
        <f>IFERROR(VLOOKUP(R43,'Assumptions &amp; Inputs'!$A$31:$F$69,5,FALSE),0)</f>
        <v>6</v>
      </c>
      <c r="AI43" s="11">
        <v>0</v>
      </c>
      <c r="AJ43" s="11">
        <v>0</v>
      </c>
      <c r="AK43" s="11">
        <v>0</v>
      </c>
      <c r="AL43" s="11">
        <v>15</v>
      </c>
      <c r="AM43" s="11">
        <v>20</v>
      </c>
      <c r="AN43" s="11">
        <v>30</v>
      </c>
      <c r="AO43" s="37">
        <f t="shared" si="18"/>
        <v>30</v>
      </c>
      <c r="AP43" s="18">
        <f t="shared" si="19"/>
        <v>80</v>
      </c>
      <c r="AQ43" s="19">
        <f t="shared" si="20"/>
        <v>180</v>
      </c>
      <c r="AR43" s="58" t="s">
        <v>419</v>
      </c>
      <c r="AS43" s="33">
        <f>IFERROR(VLOOKUP(AR43,'Assumptions &amp; Inputs'!$A$73:$I$100,9,FALSE),0)</f>
        <v>120</v>
      </c>
      <c r="AT43" s="26">
        <f t="shared" si="21"/>
        <v>3600</v>
      </c>
      <c r="AU43" s="26">
        <f t="shared" si="22"/>
        <v>9600</v>
      </c>
      <c r="AV43" s="27">
        <f t="shared" si="23"/>
        <v>21600</v>
      </c>
      <c r="AW43" s="57">
        <v>2000</v>
      </c>
      <c r="AX43" s="57">
        <v>5000</v>
      </c>
      <c r="AY43" s="57">
        <v>12000</v>
      </c>
      <c r="AZ43" s="33">
        <f>IFERROR(VLOOKUP(C43,'Assumptions &amp; Inputs'!$A$104:$B$107,2,FALSE),0)</f>
        <v>0.35</v>
      </c>
      <c r="BA43" s="26">
        <f t="shared" si="24"/>
        <v>1260</v>
      </c>
      <c r="BB43" s="26">
        <f t="shared" si="25"/>
        <v>3360</v>
      </c>
      <c r="BC43" s="27">
        <f t="shared" si="26"/>
        <v>7559.9999999999991</v>
      </c>
      <c r="BD43" s="57" t="s">
        <v>209</v>
      </c>
      <c r="BE43" s="33">
        <f>IF(BD43="Yes",(AT43+AW43)*VLOOKUP("IN-34",'Assumptions &amp; Inputs'!$A$31:$F$69,3,FALSE),0)</f>
        <v>280</v>
      </c>
      <c r="BF43" s="26">
        <f>IF(BD43="Yes",(AU43+AX43)*VLOOKUP("IN-34",'Assumptions &amp; Inputs'!$A$31:$F$69,4,FALSE),0)</f>
        <v>1095</v>
      </c>
      <c r="BG43" s="26">
        <f>IF(BD43="Yes",(AV43+AY43)*VLOOKUP("IN-34",'Assumptions &amp; Inputs'!$A$31:$F$69,5,FALSE),0)</f>
        <v>5040</v>
      </c>
      <c r="BH43" s="26">
        <f t="shared" si="27"/>
        <v>7140</v>
      </c>
      <c r="BI43" s="26">
        <f t="shared" si="28"/>
        <v>19055</v>
      </c>
      <c r="BJ43" s="27">
        <f t="shared" si="29"/>
        <v>46200</v>
      </c>
      <c r="BK43" s="58" t="s">
        <v>548</v>
      </c>
      <c r="BL43" s="58" t="s">
        <v>549</v>
      </c>
      <c r="BM43" s="58" t="s">
        <v>749</v>
      </c>
      <c r="BN43" s="58" t="s">
        <v>550</v>
      </c>
      <c r="BO43" s="5">
        <f t="shared" si="30"/>
        <v>1</v>
      </c>
      <c r="BP43" s="5">
        <f t="shared" si="31"/>
        <v>1</v>
      </c>
      <c r="BQ43" s="5">
        <f t="shared" si="32"/>
        <v>1</v>
      </c>
      <c r="BR43" s="5">
        <f t="shared" si="33"/>
        <v>1</v>
      </c>
      <c r="BS43" s="5">
        <f t="shared" si="34"/>
        <v>0</v>
      </c>
      <c r="BT43" s="5">
        <f t="shared" si="35"/>
        <v>0</v>
      </c>
      <c r="BU43" s="4">
        <f>IF(BO43=1,((AI43+(IF(R43="IN-07",'Assumptions &amp; Inputs'!$C$66,AF43))*AL43)*AS43)+AW43+(((AI43+(IF(R43="IN-07",'Assumptions &amp; Inputs'!$C$66,AF43))*AL43)*AS43)*AZ43)+IF(BD43="Yes",(((AI43+(IF(R43="IN-07",'Assumptions &amp; Inputs'!$C$66,AF43))*AL43)*AS43)+AW43)*VLOOKUP("IN-34",'Assumptions &amp; Inputs'!$A$31:$F$69,3,FALSE),0),0)</f>
        <v>7140</v>
      </c>
      <c r="BV43" s="4">
        <f>IF(BO43=1,((AJ43+(IF(R43="IN-07",'Assumptions &amp; Inputs'!$D$66,AG43))*AM43)*AS43)+AX43+(((AJ43+(IF(R43="IN-07",'Assumptions &amp; Inputs'!$D$66,AG43))*AM43)*AS43)*AZ43)+IF(BD43="Yes",(((AJ43+(IF(R43="IN-07",'Assumptions &amp; Inputs'!$D$66,AG43))*AM43)*AS43)+AX43)*VLOOKUP("IN-34",'Assumptions &amp; Inputs'!$A$31:$F$69,4,FALSE),0),0)</f>
        <v>19055</v>
      </c>
      <c r="BW43" s="4">
        <f>IF(BO43=1,((AK43+(IF(R43="IN-07",'Assumptions &amp; Inputs'!$E$66,AH43))*AN43)*AS43)+AY43+(((AK43+(IF(R43="IN-07",'Assumptions &amp; Inputs'!$E$66,AH43))*AN43)*AS43)*AZ43)+IF(BD43="Yes",(((AK43+(IF(R43="IN-07",'Assumptions &amp; Inputs'!$E$66,AH43))*AN43)*AS43)+AY43)*VLOOKUP("IN-34",'Assumptions &amp; Inputs'!$A$31:$F$69,5,FALSE),0),0)</f>
        <v>46200</v>
      </c>
      <c r="BX43" s="4">
        <f>IF(BP43=1,((AI43+(IF(R43="IN-07",'Assumptions &amp; Inputs'!$C$66,AF43))*AL43)*AS43)+AW43+(((AI43+(IF(R43="IN-07",'Assumptions &amp; Inputs'!$C$66,AF43))*AL43)*AS43)*AZ43)+IF(BD43="Yes",(((AI43+(IF(R43="IN-07",'Assumptions &amp; Inputs'!$C$66,AF43))*AL43)*AS43)+AW43)*VLOOKUP("IN-34",'Assumptions &amp; Inputs'!$A$31:$F$69,3,FALSE),0),0)</f>
        <v>7140</v>
      </c>
      <c r="BY43" s="4">
        <f>IF(BP43=1,((AJ43+(IF(R43="IN-07",'Assumptions &amp; Inputs'!$D$66,AG43))*AM43)*AS43)+AX43+(((AJ43+(IF(R43="IN-07",'Assumptions &amp; Inputs'!$D$66,AG43))*AM43)*AS43)*AZ43)+IF(BD43="Yes",(((AJ43+(IF(R43="IN-07",'Assumptions &amp; Inputs'!$D$66,AG43))*AM43)*AS43)+AX43)*VLOOKUP("IN-34",'Assumptions &amp; Inputs'!$A$31:$F$69,4,FALSE),0),0)</f>
        <v>19055</v>
      </c>
      <c r="BZ43" s="4">
        <f>IF(BP43=1,((AK43+(IF(R43="IN-07",'Assumptions &amp; Inputs'!$E$66,AH43))*AN43)*AS43)+AY43+(((AK43+(IF(R43="IN-07",'Assumptions &amp; Inputs'!$E$66,AH43))*AN43)*AS43)*AZ43)+IF(BD43="Yes",(((AK43+(IF(R43="IN-07",'Assumptions &amp; Inputs'!$E$66,AH43))*AN43)*AS43)+AY43)*VLOOKUP("IN-34",'Assumptions &amp; Inputs'!$A$31:$F$69,5,FALSE),0),0)</f>
        <v>46200</v>
      </c>
      <c r="CA43" s="4">
        <f>IF(BQ43=1,((AI43+(IF(R43="IN-07",'Assumptions &amp; Inputs'!$C$65,AF43))*AL43)*AS43)+AW43+(((AI43+(IF(R43="IN-07",'Assumptions &amp; Inputs'!$C$65,AF43))*AL43)*AS43)*AZ43)+IF(BD43="Yes",(((AI43+(IF(R43="IN-07",'Assumptions &amp; Inputs'!$C$65,AF43))*AL43)*AS43)+AW43)*VLOOKUP("IN-34",'Assumptions &amp; Inputs'!$A$31:$F$69,3,FALSE),0),0)</f>
        <v>7140</v>
      </c>
      <c r="CB43" s="4">
        <f>IF(BQ43=1,((AJ43+(IF(R43="IN-07",'Assumptions &amp; Inputs'!$D$65,AG43))*AM43)*AS43)+AX43+(((AJ43+(IF(R43="IN-07",'Assumptions &amp; Inputs'!$D$65,AG43))*AM43)*AS43)*AZ43)+IF(BD43="Yes",(((AJ43+(IF(R43="IN-07",'Assumptions &amp; Inputs'!$D$65,AG43))*AM43)*AS43)+AX43)*VLOOKUP("IN-34",'Assumptions &amp; Inputs'!$A$31:$F$69,4,FALSE),0),0)</f>
        <v>19055</v>
      </c>
      <c r="CC43" s="4">
        <f>IF(BQ43=1,((AK43+(IF(R43="IN-07",'Assumptions &amp; Inputs'!$E$65,AH43))*AN43)*AS43)+AY43+(((AK43+(IF(R43="IN-07",'Assumptions &amp; Inputs'!$E$65,AH43))*AN43)*AS43)*AZ43)+IF(BD43="Yes",(((AK43+(IF(R43="IN-07",'Assumptions &amp; Inputs'!$E$65,AH43))*AN43)*AS43)+AY43)*VLOOKUP("IN-34",'Assumptions &amp; Inputs'!$A$31:$F$69,5,FALSE),0),0)</f>
        <v>46200</v>
      </c>
      <c r="CD43" s="4">
        <f>IF(BR43=1,((AI43+(IF(R43="IN-07",'Assumptions &amp; Inputs'!$C$65,AF43))*AL43)*AS43)+AW43+(((AI43+(IF(R43="IN-07",'Assumptions &amp; Inputs'!$C$65,AF43))*AL43)*AS43)*AZ43)+IF(BD43="Yes",(((AI43+(IF(R43="IN-07",'Assumptions &amp; Inputs'!$C$65,AF43))*AL43)*AS43)+AW43)*VLOOKUP("IN-34",'Assumptions &amp; Inputs'!$A$31:$F$69,3,FALSE),0),0)</f>
        <v>7140</v>
      </c>
      <c r="CE43" s="4">
        <f>IF(BR43=1,((AJ43+(IF(R43="IN-07",'Assumptions &amp; Inputs'!$D$65,AG43))*AM43)*AS43)+AX43+(((AJ43+(IF(R43="IN-07",'Assumptions &amp; Inputs'!$D$65,AG43))*AM43)*AS43)*AZ43)+IF(BD43="Yes",(((AJ43+(IF(R43="IN-07",'Assumptions &amp; Inputs'!$D$65,AG43))*AM43)*AS43)+AX43)*VLOOKUP("IN-34",'Assumptions &amp; Inputs'!$A$31:$F$69,4,FALSE),0),0)</f>
        <v>19055</v>
      </c>
      <c r="CF43" s="4">
        <f>IF(BR43=1,((AK43+(IF(R43="IN-07",'Assumptions &amp; Inputs'!$E$65,AH43))*AN43)*AS43)+AY43+(((AK43+(IF(R43="IN-07",'Assumptions &amp; Inputs'!$E$65,AH43))*AN43)*AS43)*AZ43)+IF(BD43="Yes",(((AK43+(IF(R43="IN-07",'Assumptions &amp; Inputs'!$E$65,AH43))*AN43)*AS43)+AY43)*VLOOKUP("IN-34",'Assumptions &amp; Inputs'!$A$31:$F$69,5,FALSE),0),0)</f>
        <v>46200</v>
      </c>
      <c r="CG43" s="4">
        <f>IF(BS43=1,((AI43+(IF(R43="IN-07",0,AF43))*AL43)*AS43)+AW43+(((AI43+(IF(R43="IN-07",0,AF43))*AL43)*AS43)*AZ43)+IF(BD43="Yes",(((AI43+(IF(R43="IN-07",0,AF43))*AL43)*AS43)+AW43)*VLOOKUP("IN-34",'Assumptions &amp; Inputs'!$A$31:$F$69,3,FALSE),0),0)</f>
        <v>0</v>
      </c>
      <c r="CH43" s="4">
        <f>IF(BS43=1,((AJ43+(IF(R43="IN-07",0,AG43))*AM43)*AS43)+AX43+(((AJ43+(IF(R43="IN-07",0,AG43))*AM43)*AS43)*AZ43)+IF(BD43="Yes",(((AJ43+(IF(R43="IN-07",0,AG43))*AM43)*AS43)+AX43)*VLOOKUP("IN-34",'Assumptions &amp; Inputs'!$A$31:$F$69,4,FALSE),0),0)</f>
        <v>0</v>
      </c>
      <c r="CI43" s="4">
        <f>IF(BS43=1,((AK43+(IF(R43="IN-07",0,AH43))*AN43)*AS43)+AY43+(((AK43+(IF(R43="IN-07",0,AH43))*AN43)*AS43)*AZ43)+IF(BD43="Yes",(((AK43+(IF(R43="IN-07",0,AH43))*AN43)*AS43)+AY43)*VLOOKUP("IN-34",'Assumptions &amp; Inputs'!$A$31:$F$69,5,FALSE),0),0)</f>
        <v>0</v>
      </c>
      <c r="CJ43" s="4">
        <f>IF(BT43=1,((AI43+(IF(R43="IN-07",0,AF43))*AL43)*AS43)+AW43+(((AI43+(IF(R43="IN-07",0,AF43))*AL43)*AS43)*AZ43)+IF(BD43="Yes",(((AI43+(IF(R43="IN-07",0,AF43))*AL43)*AS43)+AW43)*VLOOKUP("IN-34",'Assumptions &amp; Inputs'!$A$31:$F$69,3,FALSE),0),0)</f>
        <v>0</v>
      </c>
      <c r="CK43" s="4">
        <f>IF(BT43=1,((AJ43+(IF(R43="IN-07",0,AG43))*AM43)*AS43)+AX43+(((AJ43+(IF(R43="IN-07",0,AG43))*AM43)*AS43)*AZ43)+IF(BD43="Yes",(((AJ43+(IF(R43="IN-07",0,AG43))*AM43)*AS43)+AX43)*VLOOKUP("IN-34",'Assumptions &amp; Inputs'!$A$31:$F$69,4,FALSE),0),0)</f>
        <v>0</v>
      </c>
      <c r="CL43" s="4">
        <f>IF(BT43=1,((AK43+(IF(R43="IN-07",0,AH43))*AN43)*AS43)+AY43+(((AK43+(IF(R43="IN-07",0,AH43))*AN43)*AS43)*AZ43)+IF(BD43="Yes",(((AK43+(IF(R43="IN-07",0,AH43))*AN43)*AS43)+AY43)*VLOOKUP("IN-34",'Assumptions &amp; Inputs'!$A$31:$F$69,5,FALSE),0),0)</f>
        <v>0</v>
      </c>
    </row>
    <row r="44" spans="1:90" ht="43.5" x14ac:dyDescent="0.35">
      <c r="A44" s="2" t="s">
        <v>1045</v>
      </c>
      <c r="B44" s="2" t="s">
        <v>1046</v>
      </c>
      <c r="C44" s="2" t="s">
        <v>48</v>
      </c>
      <c r="D44" s="2" t="s">
        <v>58</v>
      </c>
      <c r="E44" s="2" t="s">
        <v>1047</v>
      </c>
      <c r="F44" s="2" t="s">
        <v>1048</v>
      </c>
      <c r="G44" s="2" t="s">
        <v>1049</v>
      </c>
      <c r="H44" s="2" t="s">
        <v>1050</v>
      </c>
      <c r="I44" s="2" t="s">
        <v>810</v>
      </c>
      <c r="J44" s="2" t="s">
        <v>1051</v>
      </c>
      <c r="K44" s="2" t="s">
        <v>1052</v>
      </c>
      <c r="L44" s="2" t="s">
        <v>810</v>
      </c>
      <c r="M44" s="2" t="s">
        <v>532</v>
      </c>
      <c r="N44" s="2" t="s">
        <v>180</v>
      </c>
      <c r="O44" s="2" t="s">
        <v>813</v>
      </c>
      <c r="P44" s="2" t="s">
        <v>556</v>
      </c>
      <c r="Q44" s="2" t="s">
        <v>759</v>
      </c>
      <c r="R44" s="2" t="s">
        <v>341</v>
      </c>
      <c r="S44" s="2" t="s">
        <v>558</v>
      </c>
      <c r="T44" s="2" t="s">
        <v>1053</v>
      </c>
      <c r="U44" s="2" t="s">
        <v>1054</v>
      </c>
      <c r="V44" s="2" t="s">
        <v>815</v>
      </c>
      <c r="W44" s="2" t="s">
        <v>993</v>
      </c>
      <c r="X44" s="2" t="s">
        <v>1044</v>
      </c>
      <c r="Y44" s="2" t="s">
        <v>1055</v>
      </c>
      <c r="Z44" s="2" t="s">
        <v>763</v>
      </c>
      <c r="AA44" s="2" t="s">
        <v>764</v>
      </c>
      <c r="AB44" s="2" t="s">
        <v>36</v>
      </c>
      <c r="AC44" s="2" t="s">
        <v>765</v>
      </c>
      <c r="AD44" s="2" t="s">
        <v>766</v>
      </c>
      <c r="AE44" s="18">
        <f>IF(ISNUMBER(SEARCH('Scenario Definitions'!$C$5,N44)),1,0)</f>
        <v>1</v>
      </c>
      <c r="AF44" s="18">
        <f>IFERROR(VLOOKUP(R44,'Assumptions &amp; Inputs'!$A$31:$F$69,3,FALSE),0)</f>
        <v>6</v>
      </c>
      <c r="AG44" s="18">
        <f>IFERROR(VLOOKUP(R44,'Assumptions &amp; Inputs'!$A$31:$F$69,4,FALSE),0)</f>
        <v>9</v>
      </c>
      <c r="AH44" s="19">
        <f>IFERROR(VLOOKUP(R44,'Assumptions &amp; Inputs'!$A$31:$F$69,5,FALSE),0)</f>
        <v>9</v>
      </c>
      <c r="AI44" s="11">
        <v>0</v>
      </c>
      <c r="AJ44" s="11">
        <v>0</v>
      </c>
      <c r="AK44" s="11">
        <v>0</v>
      </c>
      <c r="AL44" s="11">
        <v>105</v>
      </c>
      <c r="AM44" s="11">
        <v>140</v>
      </c>
      <c r="AN44" s="11">
        <v>210</v>
      </c>
      <c r="AO44" s="37">
        <f t="shared" si="18"/>
        <v>630</v>
      </c>
      <c r="AP44" s="18">
        <f t="shared" si="19"/>
        <v>1260</v>
      </c>
      <c r="AQ44" s="19">
        <f t="shared" si="20"/>
        <v>1890</v>
      </c>
      <c r="AR44" s="58" t="s">
        <v>418</v>
      </c>
      <c r="AS44" s="33">
        <f>IFERROR(VLOOKUP(AR44,'Assumptions &amp; Inputs'!$A$73:$I$100,9,FALSE),0)</f>
        <v>165</v>
      </c>
      <c r="AT44" s="26">
        <f t="shared" si="21"/>
        <v>103950</v>
      </c>
      <c r="AU44" s="26">
        <f t="shared" si="22"/>
        <v>207900</v>
      </c>
      <c r="AV44" s="27">
        <f t="shared" si="23"/>
        <v>311850</v>
      </c>
      <c r="AW44" s="57">
        <v>45000</v>
      </c>
      <c r="AX44" s="57">
        <v>90000</v>
      </c>
      <c r="AY44" s="57">
        <v>180000</v>
      </c>
      <c r="AZ44" s="33">
        <f>IFERROR(VLOOKUP(C44,'Assumptions &amp; Inputs'!$A$104:$B$107,2,FALSE),0)</f>
        <v>0.35</v>
      </c>
      <c r="BA44" s="26">
        <f t="shared" si="24"/>
        <v>36382.5</v>
      </c>
      <c r="BB44" s="26">
        <f t="shared" si="25"/>
        <v>72765</v>
      </c>
      <c r="BC44" s="27">
        <f t="shared" si="26"/>
        <v>109147.5</v>
      </c>
      <c r="BD44" s="57" t="s">
        <v>209</v>
      </c>
      <c r="BE44" s="33">
        <f>IF(BD44="Yes",(AT44+AW44)*VLOOKUP("IN-34",'Assumptions &amp; Inputs'!$A$31:$F$69,3,FALSE),0)</f>
        <v>7447.5</v>
      </c>
      <c r="BF44" s="26">
        <f>IF(BD44="Yes",(AU44+AX44)*VLOOKUP("IN-34",'Assumptions &amp; Inputs'!$A$31:$F$69,4,FALSE),0)</f>
        <v>22342.5</v>
      </c>
      <c r="BG44" s="26">
        <f>IF(BD44="Yes",(AV44+AY44)*VLOOKUP("IN-34",'Assumptions &amp; Inputs'!$A$31:$F$69,5,FALSE),0)</f>
        <v>73777.5</v>
      </c>
      <c r="BH44" s="26">
        <f t="shared" si="27"/>
        <v>192780</v>
      </c>
      <c r="BI44" s="26">
        <f t="shared" si="28"/>
        <v>393007.5</v>
      </c>
      <c r="BJ44" s="27">
        <f t="shared" si="29"/>
        <v>674775</v>
      </c>
      <c r="BK44" s="58" t="s">
        <v>548</v>
      </c>
      <c r="BL44" s="58" t="s">
        <v>549</v>
      </c>
      <c r="BM44" s="58" t="s">
        <v>764</v>
      </c>
      <c r="BN44" s="58" t="s">
        <v>550</v>
      </c>
      <c r="BO44" s="5">
        <f t="shared" si="30"/>
        <v>1</v>
      </c>
      <c r="BP44" s="5">
        <f t="shared" si="31"/>
        <v>1</v>
      </c>
      <c r="BQ44" s="5">
        <f t="shared" si="32"/>
        <v>1</v>
      </c>
      <c r="BR44" s="5">
        <f t="shared" si="33"/>
        <v>1</v>
      </c>
      <c r="BS44" s="5">
        <f t="shared" si="34"/>
        <v>0</v>
      </c>
      <c r="BT44" s="5">
        <f t="shared" si="35"/>
        <v>0</v>
      </c>
      <c r="BU44" s="4">
        <f>IF(BO44=1,((AI44+(IF(R44="IN-07",'Assumptions &amp; Inputs'!$C$66,AF44))*AL44)*AS44)+AW44+(((AI44+(IF(R44="IN-07",'Assumptions &amp; Inputs'!$C$66,AF44))*AL44)*AS44)*AZ44)+IF(BD44="Yes",(((AI44+(IF(R44="IN-07",'Assumptions &amp; Inputs'!$C$66,AF44))*AL44)*AS44)+AW44)*VLOOKUP("IN-34",'Assumptions &amp; Inputs'!$A$31:$F$69,3,FALSE),0),0)</f>
        <v>192780</v>
      </c>
      <c r="BV44" s="4">
        <f>IF(BO44=1,((AJ44+(IF(R44="IN-07",'Assumptions &amp; Inputs'!$D$66,AG44))*AM44)*AS44)+AX44+(((AJ44+(IF(R44="IN-07",'Assumptions &amp; Inputs'!$D$66,AG44))*AM44)*AS44)*AZ44)+IF(BD44="Yes",(((AJ44+(IF(R44="IN-07",'Assumptions &amp; Inputs'!$D$66,AG44))*AM44)*AS44)+AX44)*VLOOKUP("IN-34",'Assumptions &amp; Inputs'!$A$31:$F$69,4,FALSE),0),0)</f>
        <v>393007.5</v>
      </c>
      <c r="BW44" s="4">
        <f>IF(BO44=1,((AK44+(IF(R44="IN-07",'Assumptions &amp; Inputs'!$E$66,AH44))*AN44)*AS44)+AY44+(((AK44+(IF(R44="IN-07",'Assumptions &amp; Inputs'!$E$66,AH44))*AN44)*AS44)*AZ44)+IF(BD44="Yes",(((AK44+(IF(R44="IN-07",'Assumptions &amp; Inputs'!$E$66,AH44))*AN44)*AS44)+AY44)*VLOOKUP("IN-34",'Assumptions &amp; Inputs'!$A$31:$F$69,5,FALSE),0),0)</f>
        <v>674775</v>
      </c>
      <c r="BX44" s="4">
        <f>IF(BP44=1,((AI44+(IF(R44="IN-07",'Assumptions &amp; Inputs'!$C$66,AF44))*AL44)*AS44)+AW44+(((AI44+(IF(R44="IN-07",'Assumptions &amp; Inputs'!$C$66,AF44))*AL44)*AS44)*AZ44)+IF(BD44="Yes",(((AI44+(IF(R44="IN-07",'Assumptions &amp; Inputs'!$C$66,AF44))*AL44)*AS44)+AW44)*VLOOKUP("IN-34",'Assumptions &amp; Inputs'!$A$31:$F$69,3,FALSE),0),0)</f>
        <v>192780</v>
      </c>
      <c r="BY44" s="4">
        <f>IF(BP44=1,((AJ44+(IF(R44="IN-07",'Assumptions &amp; Inputs'!$D$66,AG44))*AM44)*AS44)+AX44+(((AJ44+(IF(R44="IN-07",'Assumptions &amp; Inputs'!$D$66,AG44))*AM44)*AS44)*AZ44)+IF(BD44="Yes",(((AJ44+(IF(R44="IN-07",'Assumptions &amp; Inputs'!$D$66,AG44))*AM44)*AS44)+AX44)*VLOOKUP("IN-34",'Assumptions &amp; Inputs'!$A$31:$F$69,4,FALSE),0),0)</f>
        <v>393007.5</v>
      </c>
      <c r="BZ44" s="4">
        <f>IF(BP44=1,((AK44+(IF(R44="IN-07",'Assumptions &amp; Inputs'!$E$66,AH44))*AN44)*AS44)+AY44+(((AK44+(IF(R44="IN-07",'Assumptions &amp; Inputs'!$E$66,AH44))*AN44)*AS44)*AZ44)+IF(BD44="Yes",(((AK44+(IF(R44="IN-07",'Assumptions &amp; Inputs'!$E$66,AH44))*AN44)*AS44)+AY44)*VLOOKUP("IN-34",'Assumptions &amp; Inputs'!$A$31:$F$69,5,FALSE),0),0)</f>
        <v>674775</v>
      </c>
      <c r="CA44" s="4">
        <f>IF(BQ44=1,((AI44+(IF(R44="IN-07",'Assumptions &amp; Inputs'!$C$65,AF44))*AL44)*AS44)+AW44+(((AI44+(IF(R44="IN-07",'Assumptions &amp; Inputs'!$C$65,AF44))*AL44)*AS44)*AZ44)+IF(BD44="Yes",(((AI44+(IF(R44="IN-07",'Assumptions &amp; Inputs'!$C$65,AF44))*AL44)*AS44)+AW44)*VLOOKUP("IN-34",'Assumptions &amp; Inputs'!$A$31:$F$69,3,FALSE),0),0)</f>
        <v>192780</v>
      </c>
      <c r="CB44" s="4">
        <f>IF(BQ44=1,((AJ44+(IF(R44="IN-07",'Assumptions &amp; Inputs'!$D$65,AG44))*AM44)*AS44)+AX44+(((AJ44+(IF(R44="IN-07",'Assumptions &amp; Inputs'!$D$65,AG44))*AM44)*AS44)*AZ44)+IF(BD44="Yes",(((AJ44+(IF(R44="IN-07",'Assumptions &amp; Inputs'!$D$65,AG44))*AM44)*AS44)+AX44)*VLOOKUP("IN-34",'Assumptions &amp; Inputs'!$A$31:$F$69,4,FALSE),0),0)</f>
        <v>393007.5</v>
      </c>
      <c r="CC44" s="4">
        <f>IF(BQ44=1,((AK44+(IF(R44="IN-07",'Assumptions &amp; Inputs'!$E$65,AH44))*AN44)*AS44)+AY44+(((AK44+(IF(R44="IN-07",'Assumptions &amp; Inputs'!$E$65,AH44))*AN44)*AS44)*AZ44)+IF(BD44="Yes",(((AK44+(IF(R44="IN-07",'Assumptions &amp; Inputs'!$E$65,AH44))*AN44)*AS44)+AY44)*VLOOKUP("IN-34",'Assumptions &amp; Inputs'!$A$31:$F$69,5,FALSE),0),0)</f>
        <v>674775</v>
      </c>
      <c r="CD44" s="4">
        <f>IF(BR44=1,((AI44+(IF(R44="IN-07",'Assumptions &amp; Inputs'!$C$65,AF44))*AL44)*AS44)+AW44+(((AI44+(IF(R44="IN-07",'Assumptions &amp; Inputs'!$C$65,AF44))*AL44)*AS44)*AZ44)+IF(BD44="Yes",(((AI44+(IF(R44="IN-07",'Assumptions &amp; Inputs'!$C$65,AF44))*AL44)*AS44)+AW44)*VLOOKUP("IN-34",'Assumptions &amp; Inputs'!$A$31:$F$69,3,FALSE),0),0)</f>
        <v>192780</v>
      </c>
      <c r="CE44" s="4">
        <f>IF(BR44=1,((AJ44+(IF(R44="IN-07",'Assumptions &amp; Inputs'!$D$65,AG44))*AM44)*AS44)+AX44+(((AJ44+(IF(R44="IN-07",'Assumptions &amp; Inputs'!$D$65,AG44))*AM44)*AS44)*AZ44)+IF(BD44="Yes",(((AJ44+(IF(R44="IN-07",'Assumptions &amp; Inputs'!$D$65,AG44))*AM44)*AS44)+AX44)*VLOOKUP("IN-34",'Assumptions &amp; Inputs'!$A$31:$F$69,4,FALSE),0),0)</f>
        <v>393007.5</v>
      </c>
      <c r="CF44" s="4">
        <f>IF(BR44=1,((AK44+(IF(R44="IN-07",'Assumptions &amp; Inputs'!$E$65,AH44))*AN44)*AS44)+AY44+(((AK44+(IF(R44="IN-07",'Assumptions &amp; Inputs'!$E$65,AH44))*AN44)*AS44)*AZ44)+IF(BD44="Yes",(((AK44+(IF(R44="IN-07",'Assumptions &amp; Inputs'!$E$65,AH44))*AN44)*AS44)+AY44)*VLOOKUP("IN-34",'Assumptions &amp; Inputs'!$A$31:$F$69,5,FALSE),0),0)</f>
        <v>674775</v>
      </c>
      <c r="CG44" s="4">
        <f>IF(BS44=1,((AI44+(IF(R44="IN-07",0,AF44))*AL44)*AS44)+AW44+(((AI44+(IF(R44="IN-07",0,AF44))*AL44)*AS44)*AZ44)+IF(BD44="Yes",(((AI44+(IF(R44="IN-07",0,AF44))*AL44)*AS44)+AW44)*VLOOKUP("IN-34",'Assumptions &amp; Inputs'!$A$31:$F$69,3,FALSE),0),0)</f>
        <v>0</v>
      </c>
      <c r="CH44" s="4">
        <f>IF(BS44=1,((AJ44+(IF(R44="IN-07",0,AG44))*AM44)*AS44)+AX44+(((AJ44+(IF(R44="IN-07",0,AG44))*AM44)*AS44)*AZ44)+IF(BD44="Yes",(((AJ44+(IF(R44="IN-07",0,AG44))*AM44)*AS44)+AX44)*VLOOKUP("IN-34",'Assumptions &amp; Inputs'!$A$31:$F$69,4,FALSE),0),0)</f>
        <v>0</v>
      </c>
      <c r="CI44" s="4">
        <f>IF(BS44=1,((AK44+(IF(R44="IN-07",0,AH44))*AN44)*AS44)+AY44+(((AK44+(IF(R44="IN-07",0,AH44))*AN44)*AS44)*AZ44)+IF(BD44="Yes",(((AK44+(IF(R44="IN-07",0,AH44))*AN44)*AS44)+AY44)*VLOOKUP("IN-34",'Assumptions &amp; Inputs'!$A$31:$F$69,5,FALSE),0),0)</f>
        <v>0</v>
      </c>
      <c r="CJ44" s="4">
        <f>IF(BT44=1,((AI44+(IF(R44="IN-07",0,AF44))*AL44)*AS44)+AW44+(((AI44+(IF(R44="IN-07",0,AF44))*AL44)*AS44)*AZ44)+IF(BD44="Yes",(((AI44+(IF(R44="IN-07",0,AF44))*AL44)*AS44)+AW44)*VLOOKUP("IN-34",'Assumptions &amp; Inputs'!$A$31:$F$69,3,FALSE),0),0)</f>
        <v>0</v>
      </c>
      <c r="CK44" s="4">
        <f>IF(BT44=1,((AJ44+(IF(R44="IN-07",0,AG44))*AM44)*AS44)+AX44+(((AJ44+(IF(R44="IN-07",0,AG44))*AM44)*AS44)*AZ44)+IF(BD44="Yes",(((AJ44+(IF(R44="IN-07",0,AG44))*AM44)*AS44)+AX44)*VLOOKUP("IN-34",'Assumptions &amp; Inputs'!$A$31:$F$69,4,FALSE),0),0)</f>
        <v>0</v>
      </c>
      <c r="CL44" s="4">
        <f>IF(BT44=1,((AK44+(IF(R44="IN-07",0,AH44))*AN44)*AS44)+AY44+(((AK44+(IF(R44="IN-07",0,AH44))*AN44)*AS44)*AZ44)+IF(BD44="Yes",(((AK44+(IF(R44="IN-07",0,AH44))*AN44)*AS44)+AY44)*VLOOKUP("IN-34",'Assumptions &amp; Inputs'!$A$31:$F$69,5,FALSE),0),0)</f>
        <v>0</v>
      </c>
    </row>
    <row r="45" spans="1:90" ht="43.5" x14ac:dyDescent="0.35">
      <c r="A45" s="2" t="s">
        <v>1056</v>
      </c>
      <c r="B45" s="2" t="s">
        <v>1057</v>
      </c>
      <c r="C45" s="2" t="s">
        <v>48</v>
      </c>
      <c r="D45" s="2" t="s">
        <v>58</v>
      </c>
      <c r="E45" s="2" t="s">
        <v>1058</v>
      </c>
      <c r="F45" s="2" t="s">
        <v>1059</v>
      </c>
      <c r="G45" s="2" t="s">
        <v>1060</v>
      </c>
      <c r="H45" s="2" t="s">
        <v>1061</v>
      </c>
      <c r="I45" s="2" t="s">
        <v>810</v>
      </c>
      <c r="J45" s="2" t="s">
        <v>1062</v>
      </c>
      <c r="K45" s="2" t="s">
        <v>812</v>
      </c>
      <c r="L45" s="2" t="s">
        <v>810</v>
      </c>
      <c r="M45" s="2" t="s">
        <v>532</v>
      </c>
      <c r="N45" s="2" t="s">
        <v>180</v>
      </c>
      <c r="O45" s="2" t="s">
        <v>813</v>
      </c>
      <c r="P45" s="2" t="s">
        <v>1063</v>
      </c>
      <c r="Q45" s="2" t="s">
        <v>1064</v>
      </c>
      <c r="R45" s="2" t="s">
        <v>365</v>
      </c>
      <c r="S45" s="2" t="s">
        <v>1065</v>
      </c>
      <c r="T45" s="2" t="s">
        <v>1066</v>
      </c>
      <c r="U45" s="2" t="s">
        <v>1067</v>
      </c>
      <c r="V45" s="2" t="s">
        <v>815</v>
      </c>
      <c r="W45" s="2" t="s">
        <v>993</v>
      </c>
      <c r="X45" s="2" t="s">
        <v>1044</v>
      </c>
      <c r="Y45" s="2" t="s">
        <v>1068</v>
      </c>
      <c r="Z45" s="2" t="s">
        <v>1069</v>
      </c>
      <c r="AA45" s="2" t="s">
        <v>764</v>
      </c>
      <c r="AB45" s="2" t="s">
        <v>545</v>
      </c>
      <c r="AC45" s="2" t="s">
        <v>1070</v>
      </c>
      <c r="AD45" s="2" t="s">
        <v>1071</v>
      </c>
      <c r="AE45" s="18">
        <f>IF(ISNUMBER(SEARCH('Scenario Definitions'!$C$5,N45)),1,0)</f>
        <v>1</v>
      </c>
      <c r="AF45" s="18">
        <f>IFERROR(VLOOKUP(R45,'Assumptions &amp; Inputs'!$A$31:$F$69,3,FALSE),0)</f>
        <v>20</v>
      </c>
      <c r="AG45" s="18">
        <f>IFERROR(VLOOKUP(R45,'Assumptions &amp; Inputs'!$A$31:$F$69,4,FALSE),0)</f>
        <v>60</v>
      </c>
      <c r="AH45" s="19">
        <f>IFERROR(VLOOKUP(R45,'Assumptions &amp; Inputs'!$A$31:$F$69,5,FALSE),0)</f>
        <v>150</v>
      </c>
      <c r="AI45" s="11">
        <v>0</v>
      </c>
      <c r="AJ45" s="11">
        <v>0</v>
      </c>
      <c r="AK45" s="11">
        <v>0</v>
      </c>
      <c r="AL45" s="11">
        <v>1.9</v>
      </c>
      <c r="AM45" s="11">
        <v>2.5</v>
      </c>
      <c r="AN45" s="11">
        <v>3.8</v>
      </c>
      <c r="AO45" s="37">
        <f t="shared" si="18"/>
        <v>38</v>
      </c>
      <c r="AP45" s="18">
        <f t="shared" si="19"/>
        <v>150</v>
      </c>
      <c r="AQ45" s="19">
        <f t="shared" si="20"/>
        <v>570</v>
      </c>
      <c r="AR45" s="58" t="s">
        <v>421</v>
      </c>
      <c r="AS45" s="33">
        <f>IFERROR(VLOOKUP(AR45,'Assumptions &amp; Inputs'!$A$73:$I$100,9,FALSE),0)</f>
        <v>105</v>
      </c>
      <c r="AT45" s="26">
        <f t="shared" si="21"/>
        <v>3990</v>
      </c>
      <c r="AU45" s="26">
        <f t="shared" si="22"/>
        <v>15750</v>
      </c>
      <c r="AV45" s="27">
        <f t="shared" si="23"/>
        <v>59850</v>
      </c>
      <c r="AW45" s="57">
        <v>3000</v>
      </c>
      <c r="AX45" s="57">
        <v>8000</v>
      </c>
      <c r="AY45" s="57">
        <v>20000</v>
      </c>
      <c r="AZ45" s="33">
        <f>IFERROR(VLOOKUP(C45,'Assumptions &amp; Inputs'!$A$104:$B$107,2,FALSE),0)</f>
        <v>0.35</v>
      </c>
      <c r="BA45" s="26">
        <f t="shared" si="24"/>
        <v>1396.5</v>
      </c>
      <c r="BB45" s="26">
        <f t="shared" si="25"/>
        <v>5512.5</v>
      </c>
      <c r="BC45" s="27">
        <f t="shared" si="26"/>
        <v>20947.5</v>
      </c>
      <c r="BD45" s="57" t="s">
        <v>209</v>
      </c>
      <c r="BE45" s="33">
        <f>IF(BD45="Yes",(AT45+AW45)*VLOOKUP("IN-34",'Assumptions &amp; Inputs'!$A$31:$F$69,3,FALSE),0)</f>
        <v>349.5</v>
      </c>
      <c r="BF45" s="26">
        <f>IF(BD45="Yes",(AU45+AX45)*VLOOKUP("IN-34",'Assumptions &amp; Inputs'!$A$31:$F$69,4,FALSE),0)</f>
        <v>1781.25</v>
      </c>
      <c r="BG45" s="26">
        <f>IF(BD45="Yes",(AV45+AY45)*VLOOKUP("IN-34",'Assumptions &amp; Inputs'!$A$31:$F$69,5,FALSE),0)</f>
        <v>11977.5</v>
      </c>
      <c r="BH45" s="26">
        <f t="shared" si="27"/>
        <v>8736</v>
      </c>
      <c r="BI45" s="26">
        <f t="shared" si="28"/>
        <v>31043.75</v>
      </c>
      <c r="BJ45" s="27">
        <f t="shared" si="29"/>
        <v>112775</v>
      </c>
      <c r="BK45" s="58" t="s">
        <v>548</v>
      </c>
      <c r="BL45" s="58" t="s">
        <v>549</v>
      </c>
      <c r="BM45" s="58" t="s">
        <v>764</v>
      </c>
      <c r="BN45" s="58" t="s">
        <v>550</v>
      </c>
      <c r="BO45" s="5">
        <f t="shared" si="30"/>
        <v>1</v>
      </c>
      <c r="BP45" s="5">
        <f t="shared" si="31"/>
        <v>1</v>
      </c>
      <c r="BQ45" s="5">
        <f t="shared" si="32"/>
        <v>1</v>
      </c>
      <c r="BR45" s="5">
        <f t="shared" si="33"/>
        <v>1</v>
      </c>
      <c r="BS45" s="5">
        <f t="shared" si="34"/>
        <v>0</v>
      </c>
      <c r="BT45" s="5">
        <f t="shared" si="35"/>
        <v>0</v>
      </c>
      <c r="BU45" s="4">
        <f>IF(BO45=1,((AI45+(IF(R45="IN-07",'Assumptions &amp; Inputs'!$C$66,AF45))*AL45)*AS45)+AW45+(((AI45+(IF(R45="IN-07",'Assumptions &amp; Inputs'!$C$66,AF45))*AL45)*AS45)*AZ45)+IF(BD45="Yes",(((AI45+(IF(R45="IN-07",'Assumptions &amp; Inputs'!$C$66,AF45))*AL45)*AS45)+AW45)*VLOOKUP("IN-34",'Assumptions &amp; Inputs'!$A$31:$F$69,3,FALSE),0),0)</f>
        <v>8736</v>
      </c>
      <c r="BV45" s="4">
        <f>IF(BO45=1,((AJ45+(IF(R45="IN-07",'Assumptions &amp; Inputs'!$D$66,AG45))*AM45)*AS45)+AX45+(((AJ45+(IF(R45="IN-07",'Assumptions &amp; Inputs'!$D$66,AG45))*AM45)*AS45)*AZ45)+IF(BD45="Yes",(((AJ45+(IF(R45="IN-07",'Assumptions &amp; Inputs'!$D$66,AG45))*AM45)*AS45)+AX45)*VLOOKUP("IN-34",'Assumptions &amp; Inputs'!$A$31:$F$69,4,FALSE),0),0)</f>
        <v>31043.75</v>
      </c>
      <c r="BW45" s="4">
        <f>IF(BO45=1,((AK45+(IF(R45="IN-07",'Assumptions &amp; Inputs'!$E$66,AH45))*AN45)*AS45)+AY45+(((AK45+(IF(R45="IN-07",'Assumptions &amp; Inputs'!$E$66,AH45))*AN45)*AS45)*AZ45)+IF(BD45="Yes",(((AK45+(IF(R45="IN-07",'Assumptions &amp; Inputs'!$E$66,AH45))*AN45)*AS45)+AY45)*VLOOKUP("IN-34",'Assumptions &amp; Inputs'!$A$31:$F$69,5,FALSE),0),0)</f>
        <v>112775</v>
      </c>
      <c r="BX45" s="4">
        <f>IF(BP45=1,((AI45+(IF(R45="IN-07",'Assumptions &amp; Inputs'!$C$66,AF45))*AL45)*AS45)+AW45+(((AI45+(IF(R45="IN-07",'Assumptions &amp; Inputs'!$C$66,AF45))*AL45)*AS45)*AZ45)+IF(BD45="Yes",(((AI45+(IF(R45="IN-07",'Assumptions &amp; Inputs'!$C$66,AF45))*AL45)*AS45)+AW45)*VLOOKUP("IN-34",'Assumptions &amp; Inputs'!$A$31:$F$69,3,FALSE),0),0)</f>
        <v>8736</v>
      </c>
      <c r="BY45" s="4">
        <f>IF(BP45=1,((AJ45+(IF(R45="IN-07",'Assumptions &amp; Inputs'!$D$66,AG45))*AM45)*AS45)+AX45+(((AJ45+(IF(R45="IN-07",'Assumptions &amp; Inputs'!$D$66,AG45))*AM45)*AS45)*AZ45)+IF(BD45="Yes",(((AJ45+(IF(R45="IN-07",'Assumptions &amp; Inputs'!$D$66,AG45))*AM45)*AS45)+AX45)*VLOOKUP("IN-34",'Assumptions &amp; Inputs'!$A$31:$F$69,4,FALSE),0),0)</f>
        <v>31043.75</v>
      </c>
      <c r="BZ45" s="4">
        <f>IF(BP45=1,((AK45+(IF(R45="IN-07",'Assumptions &amp; Inputs'!$E$66,AH45))*AN45)*AS45)+AY45+(((AK45+(IF(R45="IN-07",'Assumptions &amp; Inputs'!$E$66,AH45))*AN45)*AS45)*AZ45)+IF(BD45="Yes",(((AK45+(IF(R45="IN-07",'Assumptions &amp; Inputs'!$E$66,AH45))*AN45)*AS45)+AY45)*VLOOKUP("IN-34",'Assumptions &amp; Inputs'!$A$31:$F$69,5,FALSE),0),0)</f>
        <v>112775</v>
      </c>
      <c r="CA45" s="4">
        <f>IF(BQ45=1,((AI45+(IF(R45="IN-07",'Assumptions &amp; Inputs'!$C$65,AF45))*AL45)*AS45)+AW45+(((AI45+(IF(R45="IN-07",'Assumptions &amp; Inputs'!$C$65,AF45))*AL45)*AS45)*AZ45)+IF(BD45="Yes",(((AI45+(IF(R45="IN-07",'Assumptions &amp; Inputs'!$C$65,AF45))*AL45)*AS45)+AW45)*VLOOKUP("IN-34",'Assumptions &amp; Inputs'!$A$31:$F$69,3,FALSE),0),0)</f>
        <v>8736</v>
      </c>
      <c r="CB45" s="4">
        <f>IF(BQ45=1,((AJ45+(IF(R45="IN-07",'Assumptions &amp; Inputs'!$D$65,AG45))*AM45)*AS45)+AX45+(((AJ45+(IF(R45="IN-07",'Assumptions &amp; Inputs'!$D$65,AG45))*AM45)*AS45)*AZ45)+IF(BD45="Yes",(((AJ45+(IF(R45="IN-07",'Assumptions &amp; Inputs'!$D$65,AG45))*AM45)*AS45)+AX45)*VLOOKUP("IN-34",'Assumptions &amp; Inputs'!$A$31:$F$69,4,FALSE),0),0)</f>
        <v>31043.75</v>
      </c>
      <c r="CC45" s="4">
        <f>IF(BQ45=1,((AK45+(IF(R45="IN-07",'Assumptions &amp; Inputs'!$E$65,AH45))*AN45)*AS45)+AY45+(((AK45+(IF(R45="IN-07",'Assumptions &amp; Inputs'!$E$65,AH45))*AN45)*AS45)*AZ45)+IF(BD45="Yes",(((AK45+(IF(R45="IN-07",'Assumptions &amp; Inputs'!$E$65,AH45))*AN45)*AS45)+AY45)*VLOOKUP("IN-34",'Assumptions &amp; Inputs'!$A$31:$F$69,5,FALSE),0),0)</f>
        <v>112775</v>
      </c>
      <c r="CD45" s="4">
        <f>IF(BR45=1,((AI45+(IF(R45="IN-07",'Assumptions &amp; Inputs'!$C$65,AF45))*AL45)*AS45)+AW45+(((AI45+(IF(R45="IN-07",'Assumptions &amp; Inputs'!$C$65,AF45))*AL45)*AS45)*AZ45)+IF(BD45="Yes",(((AI45+(IF(R45="IN-07",'Assumptions &amp; Inputs'!$C$65,AF45))*AL45)*AS45)+AW45)*VLOOKUP("IN-34",'Assumptions &amp; Inputs'!$A$31:$F$69,3,FALSE),0),0)</f>
        <v>8736</v>
      </c>
      <c r="CE45" s="4">
        <f>IF(BR45=1,((AJ45+(IF(R45="IN-07",'Assumptions &amp; Inputs'!$D$65,AG45))*AM45)*AS45)+AX45+(((AJ45+(IF(R45="IN-07",'Assumptions &amp; Inputs'!$D$65,AG45))*AM45)*AS45)*AZ45)+IF(BD45="Yes",(((AJ45+(IF(R45="IN-07",'Assumptions &amp; Inputs'!$D$65,AG45))*AM45)*AS45)+AX45)*VLOOKUP("IN-34",'Assumptions &amp; Inputs'!$A$31:$F$69,4,FALSE),0),0)</f>
        <v>31043.75</v>
      </c>
      <c r="CF45" s="4">
        <f>IF(BR45=1,((AK45+(IF(R45="IN-07",'Assumptions &amp; Inputs'!$E$65,AH45))*AN45)*AS45)+AY45+(((AK45+(IF(R45="IN-07",'Assumptions &amp; Inputs'!$E$65,AH45))*AN45)*AS45)*AZ45)+IF(BD45="Yes",(((AK45+(IF(R45="IN-07",'Assumptions &amp; Inputs'!$E$65,AH45))*AN45)*AS45)+AY45)*VLOOKUP("IN-34",'Assumptions &amp; Inputs'!$A$31:$F$69,5,FALSE),0),0)</f>
        <v>112775</v>
      </c>
      <c r="CG45" s="4">
        <f>IF(BS45=1,((AI45+(IF(R45="IN-07",0,AF45))*AL45)*AS45)+AW45+(((AI45+(IF(R45="IN-07",0,AF45))*AL45)*AS45)*AZ45)+IF(BD45="Yes",(((AI45+(IF(R45="IN-07",0,AF45))*AL45)*AS45)+AW45)*VLOOKUP("IN-34",'Assumptions &amp; Inputs'!$A$31:$F$69,3,FALSE),0),0)</f>
        <v>0</v>
      </c>
      <c r="CH45" s="4">
        <f>IF(BS45=1,((AJ45+(IF(R45="IN-07",0,AG45))*AM45)*AS45)+AX45+(((AJ45+(IF(R45="IN-07",0,AG45))*AM45)*AS45)*AZ45)+IF(BD45="Yes",(((AJ45+(IF(R45="IN-07",0,AG45))*AM45)*AS45)+AX45)*VLOOKUP("IN-34",'Assumptions &amp; Inputs'!$A$31:$F$69,4,FALSE),0),0)</f>
        <v>0</v>
      </c>
      <c r="CI45" s="4">
        <f>IF(BS45=1,((AK45+(IF(R45="IN-07",0,AH45))*AN45)*AS45)+AY45+(((AK45+(IF(R45="IN-07",0,AH45))*AN45)*AS45)*AZ45)+IF(BD45="Yes",(((AK45+(IF(R45="IN-07",0,AH45))*AN45)*AS45)+AY45)*VLOOKUP("IN-34",'Assumptions &amp; Inputs'!$A$31:$F$69,5,FALSE),0),0)</f>
        <v>0</v>
      </c>
      <c r="CJ45" s="4">
        <f>IF(BT45=1,((AI45+(IF(R45="IN-07",0,AF45))*AL45)*AS45)+AW45+(((AI45+(IF(R45="IN-07",0,AF45))*AL45)*AS45)*AZ45)+IF(BD45="Yes",(((AI45+(IF(R45="IN-07",0,AF45))*AL45)*AS45)+AW45)*VLOOKUP("IN-34",'Assumptions &amp; Inputs'!$A$31:$F$69,3,FALSE),0),0)</f>
        <v>0</v>
      </c>
      <c r="CK45" s="4">
        <f>IF(BT45=1,((AJ45+(IF(R45="IN-07",0,AG45))*AM45)*AS45)+AX45+(((AJ45+(IF(R45="IN-07",0,AG45))*AM45)*AS45)*AZ45)+IF(BD45="Yes",(((AJ45+(IF(R45="IN-07",0,AG45))*AM45)*AS45)+AX45)*VLOOKUP("IN-34",'Assumptions &amp; Inputs'!$A$31:$F$69,4,FALSE),0),0)</f>
        <v>0</v>
      </c>
      <c r="CL45" s="4">
        <f>IF(BT45=1,((AK45+(IF(R45="IN-07",0,AH45))*AN45)*AS45)+AY45+(((AK45+(IF(R45="IN-07",0,AH45))*AN45)*AS45)*AZ45)+IF(BD45="Yes",(((AK45+(IF(R45="IN-07",0,AH45))*AN45)*AS45)+AY45)*VLOOKUP("IN-34",'Assumptions &amp; Inputs'!$A$31:$F$69,5,FALSE),0),0)</f>
        <v>0</v>
      </c>
    </row>
    <row r="46" spans="1:90" ht="43.5" x14ac:dyDescent="0.35">
      <c r="A46" s="2" t="s">
        <v>1072</v>
      </c>
      <c r="B46" s="2" t="s">
        <v>1073</v>
      </c>
      <c r="C46" s="2" t="s">
        <v>48</v>
      </c>
      <c r="D46" s="2" t="s">
        <v>58</v>
      </c>
      <c r="E46" s="2" t="s">
        <v>1074</v>
      </c>
      <c r="F46" s="2" t="s">
        <v>1075</v>
      </c>
      <c r="G46" s="2" t="s">
        <v>1076</v>
      </c>
      <c r="H46" s="2" t="s">
        <v>1077</v>
      </c>
      <c r="I46" s="2" t="s">
        <v>810</v>
      </c>
      <c r="J46" s="2" t="s">
        <v>1078</v>
      </c>
      <c r="K46" s="2" t="s">
        <v>1079</v>
      </c>
      <c r="L46" s="2" t="s">
        <v>810</v>
      </c>
      <c r="M46" s="2" t="s">
        <v>532</v>
      </c>
      <c r="N46" s="2" t="s">
        <v>180</v>
      </c>
      <c r="O46" s="2" t="s">
        <v>813</v>
      </c>
      <c r="P46" s="2" t="s">
        <v>556</v>
      </c>
      <c r="Q46" s="2" t="s">
        <v>774</v>
      </c>
      <c r="R46" s="2" t="s">
        <v>343</v>
      </c>
      <c r="S46" s="2" t="s">
        <v>568</v>
      </c>
      <c r="T46" s="2" t="s">
        <v>760</v>
      </c>
      <c r="U46" s="2" t="s">
        <v>1080</v>
      </c>
      <c r="V46" s="2" t="s">
        <v>815</v>
      </c>
      <c r="W46" s="2" t="s">
        <v>540</v>
      </c>
      <c r="X46" s="2" t="s">
        <v>647</v>
      </c>
      <c r="Y46" s="2" t="s">
        <v>171</v>
      </c>
      <c r="Z46" s="2" t="s">
        <v>543</v>
      </c>
      <c r="AA46" s="2" t="s">
        <v>764</v>
      </c>
      <c r="AB46" s="2" t="s">
        <v>545</v>
      </c>
      <c r="AC46" s="2" t="s">
        <v>1081</v>
      </c>
      <c r="AD46" s="2" t="s">
        <v>1082</v>
      </c>
      <c r="AE46" s="18">
        <f>IF(ISNUMBER(SEARCH('Scenario Definitions'!$C$5,N46)),1,0)</f>
        <v>1</v>
      </c>
      <c r="AF46" s="18">
        <f>IFERROR(VLOOKUP(R46,'Assumptions &amp; Inputs'!$A$31:$F$69,3,FALSE),0)</f>
        <v>9</v>
      </c>
      <c r="AG46" s="18">
        <f>IFERROR(VLOOKUP(R46,'Assumptions &amp; Inputs'!$A$31:$F$69,4,FALSE),0)</f>
        <v>12</v>
      </c>
      <c r="AH46" s="19">
        <f>IFERROR(VLOOKUP(R46,'Assumptions &amp; Inputs'!$A$31:$F$69,5,FALSE),0)</f>
        <v>18</v>
      </c>
      <c r="AI46" s="11">
        <v>0</v>
      </c>
      <c r="AJ46" s="11">
        <v>0</v>
      </c>
      <c r="AK46" s="11">
        <v>0</v>
      </c>
      <c r="AL46" s="11">
        <v>6</v>
      </c>
      <c r="AM46" s="11">
        <v>8</v>
      </c>
      <c r="AN46" s="11">
        <v>12</v>
      </c>
      <c r="AO46" s="37">
        <f t="shared" si="18"/>
        <v>54</v>
      </c>
      <c r="AP46" s="18">
        <f t="shared" si="19"/>
        <v>96</v>
      </c>
      <c r="AQ46" s="19">
        <f t="shared" si="20"/>
        <v>216</v>
      </c>
      <c r="AR46" s="58" t="s">
        <v>421</v>
      </c>
      <c r="AS46" s="33">
        <f>IFERROR(VLOOKUP(AR46,'Assumptions &amp; Inputs'!$A$73:$I$100,9,FALSE),0)</f>
        <v>105</v>
      </c>
      <c r="AT46" s="26">
        <f t="shared" si="21"/>
        <v>5670</v>
      </c>
      <c r="AU46" s="26">
        <f t="shared" si="22"/>
        <v>10080</v>
      </c>
      <c r="AV46" s="27">
        <f t="shared" si="23"/>
        <v>22680</v>
      </c>
      <c r="AW46" s="57">
        <v>0</v>
      </c>
      <c r="AX46" s="57">
        <v>3000</v>
      </c>
      <c r="AY46" s="57">
        <v>10000</v>
      </c>
      <c r="AZ46" s="33">
        <f>IFERROR(VLOOKUP(C46,'Assumptions &amp; Inputs'!$A$104:$B$107,2,FALSE),0)</f>
        <v>0.35</v>
      </c>
      <c r="BA46" s="26">
        <f t="shared" si="24"/>
        <v>1984.4999999999998</v>
      </c>
      <c r="BB46" s="26">
        <f t="shared" si="25"/>
        <v>3528</v>
      </c>
      <c r="BC46" s="27">
        <f t="shared" si="26"/>
        <v>7937.9999999999991</v>
      </c>
      <c r="BD46" s="57" t="s">
        <v>209</v>
      </c>
      <c r="BE46" s="33">
        <f>IF(BD46="Yes",(AT46+AW46)*VLOOKUP("IN-34",'Assumptions &amp; Inputs'!$A$31:$F$69,3,FALSE),0)</f>
        <v>283.5</v>
      </c>
      <c r="BF46" s="26">
        <f>IF(BD46="Yes",(AU46+AX46)*VLOOKUP("IN-34",'Assumptions &amp; Inputs'!$A$31:$F$69,4,FALSE),0)</f>
        <v>981</v>
      </c>
      <c r="BG46" s="26">
        <f>IF(BD46="Yes",(AV46+AY46)*VLOOKUP("IN-34",'Assumptions &amp; Inputs'!$A$31:$F$69,5,FALSE),0)</f>
        <v>4902</v>
      </c>
      <c r="BH46" s="26">
        <f t="shared" si="27"/>
        <v>7938</v>
      </c>
      <c r="BI46" s="26">
        <f t="shared" si="28"/>
        <v>17589</v>
      </c>
      <c r="BJ46" s="27">
        <f t="shared" si="29"/>
        <v>45520</v>
      </c>
      <c r="BK46" s="58" t="s">
        <v>548</v>
      </c>
      <c r="BL46" s="58" t="s">
        <v>549</v>
      </c>
      <c r="BM46" s="58" t="s">
        <v>764</v>
      </c>
      <c r="BN46" s="58" t="s">
        <v>550</v>
      </c>
      <c r="BO46" s="5">
        <f t="shared" si="30"/>
        <v>1</v>
      </c>
      <c r="BP46" s="5">
        <f t="shared" si="31"/>
        <v>1</v>
      </c>
      <c r="BQ46" s="5">
        <f t="shared" si="32"/>
        <v>1</v>
      </c>
      <c r="BR46" s="5">
        <f t="shared" si="33"/>
        <v>1</v>
      </c>
      <c r="BS46" s="5">
        <f t="shared" si="34"/>
        <v>0</v>
      </c>
      <c r="BT46" s="5">
        <f t="shared" si="35"/>
        <v>0</v>
      </c>
      <c r="BU46" s="4">
        <f>IF(BO46=1,((AI46+(IF(R46="IN-07",'Assumptions &amp; Inputs'!$C$66,AF46))*AL46)*AS46)+AW46+(((AI46+(IF(R46="IN-07",'Assumptions &amp; Inputs'!$C$66,AF46))*AL46)*AS46)*AZ46)+IF(BD46="Yes",(((AI46+(IF(R46="IN-07",'Assumptions &amp; Inputs'!$C$66,AF46))*AL46)*AS46)+AW46)*VLOOKUP("IN-34",'Assumptions &amp; Inputs'!$A$31:$F$69,3,FALSE),0),0)</f>
        <v>7938</v>
      </c>
      <c r="BV46" s="4">
        <f>IF(BO46=1,((AJ46+(IF(R46="IN-07",'Assumptions &amp; Inputs'!$D$66,AG46))*AM46)*AS46)+AX46+(((AJ46+(IF(R46="IN-07",'Assumptions &amp; Inputs'!$D$66,AG46))*AM46)*AS46)*AZ46)+IF(BD46="Yes",(((AJ46+(IF(R46="IN-07",'Assumptions &amp; Inputs'!$D$66,AG46))*AM46)*AS46)+AX46)*VLOOKUP("IN-34",'Assumptions &amp; Inputs'!$A$31:$F$69,4,FALSE),0),0)</f>
        <v>17589</v>
      </c>
      <c r="BW46" s="4">
        <f>IF(BO46=1,((AK46+(IF(R46="IN-07",'Assumptions &amp; Inputs'!$E$66,AH46))*AN46)*AS46)+AY46+(((AK46+(IF(R46="IN-07",'Assumptions &amp; Inputs'!$E$66,AH46))*AN46)*AS46)*AZ46)+IF(BD46="Yes",(((AK46+(IF(R46="IN-07",'Assumptions &amp; Inputs'!$E$66,AH46))*AN46)*AS46)+AY46)*VLOOKUP("IN-34",'Assumptions &amp; Inputs'!$A$31:$F$69,5,FALSE),0),0)</f>
        <v>45520</v>
      </c>
      <c r="BX46" s="4">
        <f>IF(BP46=1,((AI46+(IF(R46="IN-07",'Assumptions &amp; Inputs'!$C$66,AF46))*AL46)*AS46)+AW46+(((AI46+(IF(R46="IN-07",'Assumptions &amp; Inputs'!$C$66,AF46))*AL46)*AS46)*AZ46)+IF(BD46="Yes",(((AI46+(IF(R46="IN-07",'Assumptions &amp; Inputs'!$C$66,AF46))*AL46)*AS46)+AW46)*VLOOKUP("IN-34",'Assumptions &amp; Inputs'!$A$31:$F$69,3,FALSE),0),0)</f>
        <v>7938</v>
      </c>
      <c r="BY46" s="4">
        <f>IF(BP46=1,((AJ46+(IF(R46="IN-07",'Assumptions &amp; Inputs'!$D$66,AG46))*AM46)*AS46)+AX46+(((AJ46+(IF(R46="IN-07",'Assumptions &amp; Inputs'!$D$66,AG46))*AM46)*AS46)*AZ46)+IF(BD46="Yes",(((AJ46+(IF(R46="IN-07",'Assumptions &amp; Inputs'!$D$66,AG46))*AM46)*AS46)+AX46)*VLOOKUP("IN-34",'Assumptions &amp; Inputs'!$A$31:$F$69,4,FALSE),0),0)</f>
        <v>17589</v>
      </c>
      <c r="BZ46" s="4">
        <f>IF(BP46=1,((AK46+(IF(R46="IN-07",'Assumptions &amp; Inputs'!$E$66,AH46))*AN46)*AS46)+AY46+(((AK46+(IF(R46="IN-07",'Assumptions &amp; Inputs'!$E$66,AH46))*AN46)*AS46)*AZ46)+IF(BD46="Yes",(((AK46+(IF(R46="IN-07",'Assumptions &amp; Inputs'!$E$66,AH46))*AN46)*AS46)+AY46)*VLOOKUP("IN-34",'Assumptions &amp; Inputs'!$A$31:$F$69,5,FALSE),0),0)</f>
        <v>45520</v>
      </c>
      <c r="CA46" s="4">
        <f>IF(BQ46=1,((AI46+(IF(R46="IN-07",'Assumptions &amp; Inputs'!$C$65,AF46))*AL46)*AS46)+AW46+(((AI46+(IF(R46="IN-07",'Assumptions &amp; Inputs'!$C$65,AF46))*AL46)*AS46)*AZ46)+IF(BD46="Yes",(((AI46+(IF(R46="IN-07",'Assumptions &amp; Inputs'!$C$65,AF46))*AL46)*AS46)+AW46)*VLOOKUP("IN-34",'Assumptions &amp; Inputs'!$A$31:$F$69,3,FALSE),0),0)</f>
        <v>7938</v>
      </c>
      <c r="CB46" s="4">
        <f>IF(BQ46=1,((AJ46+(IF(R46="IN-07",'Assumptions &amp; Inputs'!$D$65,AG46))*AM46)*AS46)+AX46+(((AJ46+(IF(R46="IN-07",'Assumptions &amp; Inputs'!$D$65,AG46))*AM46)*AS46)*AZ46)+IF(BD46="Yes",(((AJ46+(IF(R46="IN-07",'Assumptions &amp; Inputs'!$D$65,AG46))*AM46)*AS46)+AX46)*VLOOKUP("IN-34",'Assumptions &amp; Inputs'!$A$31:$F$69,4,FALSE),0),0)</f>
        <v>17589</v>
      </c>
      <c r="CC46" s="4">
        <f>IF(BQ46=1,((AK46+(IF(R46="IN-07",'Assumptions &amp; Inputs'!$E$65,AH46))*AN46)*AS46)+AY46+(((AK46+(IF(R46="IN-07",'Assumptions &amp; Inputs'!$E$65,AH46))*AN46)*AS46)*AZ46)+IF(BD46="Yes",(((AK46+(IF(R46="IN-07",'Assumptions &amp; Inputs'!$E$65,AH46))*AN46)*AS46)+AY46)*VLOOKUP("IN-34",'Assumptions &amp; Inputs'!$A$31:$F$69,5,FALSE),0),0)</f>
        <v>45520</v>
      </c>
      <c r="CD46" s="4">
        <f>IF(BR46=1,((AI46+(IF(R46="IN-07",'Assumptions &amp; Inputs'!$C$65,AF46))*AL46)*AS46)+AW46+(((AI46+(IF(R46="IN-07",'Assumptions &amp; Inputs'!$C$65,AF46))*AL46)*AS46)*AZ46)+IF(BD46="Yes",(((AI46+(IF(R46="IN-07",'Assumptions &amp; Inputs'!$C$65,AF46))*AL46)*AS46)+AW46)*VLOOKUP("IN-34",'Assumptions &amp; Inputs'!$A$31:$F$69,3,FALSE),0),0)</f>
        <v>7938</v>
      </c>
      <c r="CE46" s="4">
        <f>IF(BR46=1,((AJ46+(IF(R46="IN-07",'Assumptions &amp; Inputs'!$D$65,AG46))*AM46)*AS46)+AX46+(((AJ46+(IF(R46="IN-07",'Assumptions &amp; Inputs'!$D$65,AG46))*AM46)*AS46)*AZ46)+IF(BD46="Yes",(((AJ46+(IF(R46="IN-07",'Assumptions &amp; Inputs'!$D$65,AG46))*AM46)*AS46)+AX46)*VLOOKUP("IN-34",'Assumptions &amp; Inputs'!$A$31:$F$69,4,FALSE),0),0)</f>
        <v>17589</v>
      </c>
      <c r="CF46" s="4">
        <f>IF(BR46=1,((AK46+(IF(R46="IN-07",'Assumptions &amp; Inputs'!$E$65,AH46))*AN46)*AS46)+AY46+(((AK46+(IF(R46="IN-07",'Assumptions &amp; Inputs'!$E$65,AH46))*AN46)*AS46)*AZ46)+IF(BD46="Yes",(((AK46+(IF(R46="IN-07",'Assumptions &amp; Inputs'!$E$65,AH46))*AN46)*AS46)+AY46)*VLOOKUP("IN-34",'Assumptions &amp; Inputs'!$A$31:$F$69,5,FALSE),0),0)</f>
        <v>45520</v>
      </c>
      <c r="CG46" s="4">
        <f>IF(BS46=1,((AI46+(IF(R46="IN-07",0,AF46))*AL46)*AS46)+AW46+(((AI46+(IF(R46="IN-07",0,AF46))*AL46)*AS46)*AZ46)+IF(BD46="Yes",(((AI46+(IF(R46="IN-07",0,AF46))*AL46)*AS46)+AW46)*VLOOKUP("IN-34",'Assumptions &amp; Inputs'!$A$31:$F$69,3,FALSE),0),0)</f>
        <v>0</v>
      </c>
      <c r="CH46" s="4">
        <f>IF(BS46=1,((AJ46+(IF(R46="IN-07",0,AG46))*AM46)*AS46)+AX46+(((AJ46+(IF(R46="IN-07",0,AG46))*AM46)*AS46)*AZ46)+IF(BD46="Yes",(((AJ46+(IF(R46="IN-07",0,AG46))*AM46)*AS46)+AX46)*VLOOKUP("IN-34",'Assumptions &amp; Inputs'!$A$31:$F$69,4,FALSE),0),0)</f>
        <v>0</v>
      </c>
      <c r="CI46" s="4">
        <f>IF(BS46=1,((AK46+(IF(R46="IN-07",0,AH46))*AN46)*AS46)+AY46+(((AK46+(IF(R46="IN-07",0,AH46))*AN46)*AS46)*AZ46)+IF(BD46="Yes",(((AK46+(IF(R46="IN-07",0,AH46))*AN46)*AS46)+AY46)*VLOOKUP("IN-34",'Assumptions &amp; Inputs'!$A$31:$F$69,5,FALSE),0),0)</f>
        <v>0</v>
      </c>
      <c r="CJ46" s="4">
        <f>IF(BT46=1,((AI46+(IF(R46="IN-07",0,AF46))*AL46)*AS46)+AW46+(((AI46+(IF(R46="IN-07",0,AF46))*AL46)*AS46)*AZ46)+IF(BD46="Yes",(((AI46+(IF(R46="IN-07",0,AF46))*AL46)*AS46)+AW46)*VLOOKUP("IN-34",'Assumptions &amp; Inputs'!$A$31:$F$69,3,FALSE),0),0)</f>
        <v>0</v>
      </c>
      <c r="CK46" s="4">
        <f>IF(BT46=1,((AJ46+(IF(R46="IN-07",0,AG46))*AM46)*AS46)+AX46+(((AJ46+(IF(R46="IN-07",0,AG46))*AM46)*AS46)*AZ46)+IF(BD46="Yes",(((AJ46+(IF(R46="IN-07",0,AG46))*AM46)*AS46)+AX46)*VLOOKUP("IN-34",'Assumptions &amp; Inputs'!$A$31:$F$69,4,FALSE),0),0)</f>
        <v>0</v>
      </c>
      <c r="CL46" s="4">
        <f>IF(BT46=1,((AK46+(IF(R46="IN-07",0,AH46))*AN46)*AS46)+AY46+(((AK46+(IF(R46="IN-07",0,AH46))*AN46)*AS46)*AZ46)+IF(BD46="Yes",(((AK46+(IF(R46="IN-07",0,AH46))*AN46)*AS46)+AY46)*VLOOKUP("IN-34",'Assumptions &amp; Inputs'!$A$31:$F$69,5,FALSE),0),0)</f>
        <v>0</v>
      </c>
    </row>
    <row r="47" spans="1:90" ht="43.5" x14ac:dyDescent="0.35">
      <c r="A47" s="2" t="s">
        <v>1083</v>
      </c>
      <c r="B47" s="2" t="s">
        <v>1084</v>
      </c>
      <c r="C47" s="2" t="s">
        <v>48</v>
      </c>
      <c r="D47" s="2" t="s">
        <v>59</v>
      </c>
      <c r="E47" s="2" t="s">
        <v>1085</v>
      </c>
      <c r="F47" s="2" t="s">
        <v>1086</v>
      </c>
      <c r="G47" s="2" t="s">
        <v>1087</v>
      </c>
      <c r="H47" s="2" t="s">
        <v>1088</v>
      </c>
      <c r="I47" s="2" t="s">
        <v>158</v>
      </c>
      <c r="J47" s="2" t="s">
        <v>1089</v>
      </c>
      <c r="K47" s="2" t="s">
        <v>1090</v>
      </c>
      <c r="L47" s="2" t="s">
        <v>810</v>
      </c>
      <c r="M47" s="2" t="s">
        <v>532</v>
      </c>
      <c r="N47" s="2" t="s">
        <v>180</v>
      </c>
      <c r="O47" s="2" t="s">
        <v>813</v>
      </c>
      <c r="P47" s="2" t="s">
        <v>556</v>
      </c>
      <c r="Q47" s="2" t="s">
        <v>785</v>
      </c>
      <c r="R47" s="2" t="s">
        <v>348</v>
      </c>
      <c r="S47" s="2" t="s">
        <v>717</v>
      </c>
      <c r="T47" s="2" t="s">
        <v>786</v>
      </c>
      <c r="U47" s="2" t="s">
        <v>1091</v>
      </c>
      <c r="V47" s="2" t="s">
        <v>815</v>
      </c>
      <c r="W47" s="2" t="s">
        <v>540</v>
      </c>
      <c r="X47" s="2" t="s">
        <v>1092</v>
      </c>
      <c r="Y47" s="2" t="s">
        <v>171</v>
      </c>
      <c r="Z47" s="2" t="s">
        <v>543</v>
      </c>
      <c r="AA47" s="2" t="s">
        <v>789</v>
      </c>
      <c r="AB47" s="2" t="s">
        <v>36</v>
      </c>
      <c r="AC47" s="2" t="s">
        <v>1093</v>
      </c>
      <c r="AD47" s="2" t="s">
        <v>791</v>
      </c>
      <c r="AE47" s="18">
        <f>IF(ISNUMBER(SEARCH('Scenario Definitions'!$C$5,N47)),1,0)</f>
        <v>1</v>
      </c>
      <c r="AF47" s="18">
        <f>IFERROR(VLOOKUP(R47,'Assumptions &amp; Inputs'!$A$31:$F$69,3,FALSE),0)</f>
        <v>3</v>
      </c>
      <c r="AG47" s="18">
        <f>IFERROR(VLOOKUP(R47,'Assumptions &amp; Inputs'!$A$31:$F$69,4,FALSE),0)</f>
        <v>4</v>
      </c>
      <c r="AH47" s="19">
        <f>IFERROR(VLOOKUP(R47,'Assumptions &amp; Inputs'!$A$31:$F$69,5,FALSE),0)</f>
        <v>6</v>
      </c>
      <c r="AI47" s="11">
        <v>0</v>
      </c>
      <c r="AJ47" s="11">
        <v>0</v>
      </c>
      <c r="AK47" s="11">
        <v>0</v>
      </c>
      <c r="AL47" s="11">
        <v>30</v>
      </c>
      <c r="AM47" s="11">
        <v>40</v>
      </c>
      <c r="AN47" s="11">
        <v>60</v>
      </c>
      <c r="AO47" s="37">
        <f t="shared" si="18"/>
        <v>90</v>
      </c>
      <c r="AP47" s="18">
        <f t="shared" si="19"/>
        <v>160</v>
      </c>
      <c r="AQ47" s="19">
        <f t="shared" si="20"/>
        <v>360</v>
      </c>
      <c r="AR47" s="58" t="s">
        <v>419</v>
      </c>
      <c r="AS47" s="33">
        <f>IFERROR(VLOOKUP(AR47,'Assumptions &amp; Inputs'!$A$73:$I$100,9,FALSE),0)</f>
        <v>120</v>
      </c>
      <c r="AT47" s="26">
        <f t="shared" si="21"/>
        <v>10800</v>
      </c>
      <c r="AU47" s="26">
        <f t="shared" si="22"/>
        <v>19200</v>
      </c>
      <c r="AV47" s="27">
        <f t="shared" si="23"/>
        <v>43200</v>
      </c>
      <c r="AW47" s="57">
        <v>0</v>
      </c>
      <c r="AX47" s="57">
        <v>0</v>
      </c>
      <c r="AY47" s="57">
        <v>0</v>
      </c>
      <c r="AZ47" s="33">
        <f>IFERROR(VLOOKUP(C47,'Assumptions &amp; Inputs'!$A$104:$B$107,2,FALSE),0)</f>
        <v>0.35</v>
      </c>
      <c r="BA47" s="26">
        <f t="shared" si="24"/>
        <v>3779.9999999999995</v>
      </c>
      <c r="BB47" s="26">
        <f t="shared" si="25"/>
        <v>6720</v>
      </c>
      <c r="BC47" s="27">
        <f t="shared" si="26"/>
        <v>15119.999999999998</v>
      </c>
      <c r="BD47" s="57" t="s">
        <v>209</v>
      </c>
      <c r="BE47" s="33">
        <f>IF(BD47="Yes",(AT47+AW47)*VLOOKUP("IN-34",'Assumptions &amp; Inputs'!$A$31:$F$69,3,FALSE),0)</f>
        <v>540</v>
      </c>
      <c r="BF47" s="26">
        <f>IF(BD47="Yes",(AU47+AX47)*VLOOKUP("IN-34",'Assumptions &amp; Inputs'!$A$31:$F$69,4,FALSE),0)</f>
        <v>1440</v>
      </c>
      <c r="BG47" s="26">
        <f>IF(BD47="Yes",(AV47+AY47)*VLOOKUP("IN-34",'Assumptions &amp; Inputs'!$A$31:$F$69,5,FALSE),0)</f>
        <v>6480</v>
      </c>
      <c r="BH47" s="26">
        <f t="shared" si="27"/>
        <v>15120</v>
      </c>
      <c r="BI47" s="26">
        <f t="shared" si="28"/>
        <v>27360</v>
      </c>
      <c r="BJ47" s="27">
        <f t="shared" si="29"/>
        <v>64800</v>
      </c>
      <c r="BK47" s="58" t="s">
        <v>548</v>
      </c>
      <c r="BL47" s="58" t="s">
        <v>549</v>
      </c>
      <c r="BM47" s="58" t="s">
        <v>789</v>
      </c>
      <c r="BN47" s="58" t="s">
        <v>550</v>
      </c>
      <c r="BO47" s="5">
        <f t="shared" si="30"/>
        <v>1</v>
      </c>
      <c r="BP47" s="5">
        <f t="shared" si="31"/>
        <v>1</v>
      </c>
      <c r="BQ47" s="5">
        <f t="shared" si="32"/>
        <v>1</v>
      </c>
      <c r="BR47" s="5">
        <f t="shared" si="33"/>
        <v>1</v>
      </c>
      <c r="BS47" s="5">
        <f t="shared" si="34"/>
        <v>0</v>
      </c>
      <c r="BT47" s="5">
        <f t="shared" si="35"/>
        <v>0</v>
      </c>
      <c r="BU47" s="4">
        <f>IF(BO47=1,((AI47+(IF(R47="IN-07",'Assumptions &amp; Inputs'!$C$66,AF47))*AL47)*AS47)+AW47+(((AI47+(IF(R47="IN-07",'Assumptions &amp; Inputs'!$C$66,AF47))*AL47)*AS47)*AZ47)+IF(BD47="Yes",(((AI47+(IF(R47="IN-07",'Assumptions &amp; Inputs'!$C$66,AF47))*AL47)*AS47)+AW47)*VLOOKUP("IN-34",'Assumptions &amp; Inputs'!$A$31:$F$69,3,FALSE),0),0)</f>
        <v>15120</v>
      </c>
      <c r="BV47" s="4">
        <f>IF(BO47=1,((AJ47+(IF(R47="IN-07",'Assumptions &amp; Inputs'!$D$66,AG47))*AM47)*AS47)+AX47+(((AJ47+(IF(R47="IN-07",'Assumptions &amp; Inputs'!$D$66,AG47))*AM47)*AS47)*AZ47)+IF(BD47="Yes",(((AJ47+(IF(R47="IN-07",'Assumptions &amp; Inputs'!$D$66,AG47))*AM47)*AS47)+AX47)*VLOOKUP("IN-34",'Assumptions &amp; Inputs'!$A$31:$F$69,4,FALSE),0),0)</f>
        <v>27360</v>
      </c>
      <c r="BW47" s="4">
        <f>IF(BO47=1,((AK47+(IF(R47="IN-07",'Assumptions &amp; Inputs'!$E$66,AH47))*AN47)*AS47)+AY47+(((AK47+(IF(R47="IN-07",'Assumptions &amp; Inputs'!$E$66,AH47))*AN47)*AS47)*AZ47)+IF(BD47="Yes",(((AK47+(IF(R47="IN-07",'Assumptions &amp; Inputs'!$E$66,AH47))*AN47)*AS47)+AY47)*VLOOKUP("IN-34",'Assumptions &amp; Inputs'!$A$31:$F$69,5,FALSE),0),0)</f>
        <v>64800</v>
      </c>
      <c r="BX47" s="4">
        <f>IF(BP47=1,((AI47+(IF(R47="IN-07",'Assumptions &amp; Inputs'!$C$66,AF47))*AL47)*AS47)+AW47+(((AI47+(IF(R47="IN-07",'Assumptions &amp; Inputs'!$C$66,AF47))*AL47)*AS47)*AZ47)+IF(BD47="Yes",(((AI47+(IF(R47="IN-07",'Assumptions &amp; Inputs'!$C$66,AF47))*AL47)*AS47)+AW47)*VLOOKUP("IN-34",'Assumptions &amp; Inputs'!$A$31:$F$69,3,FALSE),0),0)</f>
        <v>15120</v>
      </c>
      <c r="BY47" s="4">
        <f>IF(BP47=1,((AJ47+(IF(R47="IN-07",'Assumptions &amp; Inputs'!$D$66,AG47))*AM47)*AS47)+AX47+(((AJ47+(IF(R47="IN-07",'Assumptions &amp; Inputs'!$D$66,AG47))*AM47)*AS47)*AZ47)+IF(BD47="Yes",(((AJ47+(IF(R47="IN-07",'Assumptions &amp; Inputs'!$D$66,AG47))*AM47)*AS47)+AX47)*VLOOKUP("IN-34",'Assumptions &amp; Inputs'!$A$31:$F$69,4,FALSE),0),0)</f>
        <v>27360</v>
      </c>
      <c r="BZ47" s="4">
        <f>IF(BP47=1,((AK47+(IF(R47="IN-07",'Assumptions &amp; Inputs'!$E$66,AH47))*AN47)*AS47)+AY47+(((AK47+(IF(R47="IN-07",'Assumptions &amp; Inputs'!$E$66,AH47))*AN47)*AS47)*AZ47)+IF(BD47="Yes",(((AK47+(IF(R47="IN-07",'Assumptions &amp; Inputs'!$E$66,AH47))*AN47)*AS47)+AY47)*VLOOKUP("IN-34",'Assumptions &amp; Inputs'!$A$31:$F$69,5,FALSE),0),0)</f>
        <v>64800</v>
      </c>
      <c r="CA47" s="4">
        <f>IF(BQ47=1,((AI47+(IF(R47="IN-07",'Assumptions &amp; Inputs'!$C$65,AF47))*AL47)*AS47)+AW47+(((AI47+(IF(R47="IN-07",'Assumptions &amp; Inputs'!$C$65,AF47))*AL47)*AS47)*AZ47)+IF(BD47="Yes",(((AI47+(IF(R47="IN-07",'Assumptions &amp; Inputs'!$C$65,AF47))*AL47)*AS47)+AW47)*VLOOKUP("IN-34",'Assumptions &amp; Inputs'!$A$31:$F$69,3,FALSE),0),0)</f>
        <v>15120</v>
      </c>
      <c r="CB47" s="4">
        <f>IF(BQ47=1,((AJ47+(IF(R47="IN-07",'Assumptions &amp; Inputs'!$D$65,AG47))*AM47)*AS47)+AX47+(((AJ47+(IF(R47="IN-07",'Assumptions &amp; Inputs'!$D$65,AG47))*AM47)*AS47)*AZ47)+IF(BD47="Yes",(((AJ47+(IF(R47="IN-07",'Assumptions &amp; Inputs'!$D$65,AG47))*AM47)*AS47)+AX47)*VLOOKUP("IN-34",'Assumptions &amp; Inputs'!$A$31:$F$69,4,FALSE),0),0)</f>
        <v>27360</v>
      </c>
      <c r="CC47" s="4">
        <f>IF(BQ47=1,((AK47+(IF(R47="IN-07",'Assumptions &amp; Inputs'!$E$65,AH47))*AN47)*AS47)+AY47+(((AK47+(IF(R47="IN-07",'Assumptions &amp; Inputs'!$E$65,AH47))*AN47)*AS47)*AZ47)+IF(BD47="Yes",(((AK47+(IF(R47="IN-07",'Assumptions &amp; Inputs'!$E$65,AH47))*AN47)*AS47)+AY47)*VLOOKUP("IN-34",'Assumptions &amp; Inputs'!$A$31:$F$69,5,FALSE),0),0)</f>
        <v>64800</v>
      </c>
      <c r="CD47" s="4">
        <f>IF(BR47=1,((AI47+(IF(R47="IN-07",'Assumptions &amp; Inputs'!$C$65,AF47))*AL47)*AS47)+AW47+(((AI47+(IF(R47="IN-07",'Assumptions &amp; Inputs'!$C$65,AF47))*AL47)*AS47)*AZ47)+IF(BD47="Yes",(((AI47+(IF(R47="IN-07",'Assumptions &amp; Inputs'!$C$65,AF47))*AL47)*AS47)+AW47)*VLOOKUP("IN-34",'Assumptions &amp; Inputs'!$A$31:$F$69,3,FALSE),0),0)</f>
        <v>15120</v>
      </c>
      <c r="CE47" s="4">
        <f>IF(BR47=1,((AJ47+(IF(R47="IN-07",'Assumptions &amp; Inputs'!$D$65,AG47))*AM47)*AS47)+AX47+(((AJ47+(IF(R47="IN-07",'Assumptions &amp; Inputs'!$D$65,AG47))*AM47)*AS47)*AZ47)+IF(BD47="Yes",(((AJ47+(IF(R47="IN-07",'Assumptions &amp; Inputs'!$D$65,AG47))*AM47)*AS47)+AX47)*VLOOKUP("IN-34",'Assumptions &amp; Inputs'!$A$31:$F$69,4,FALSE),0),0)</f>
        <v>27360</v>
      </c>
      <c r="CF47" s="4">
        <f>IF(BR47=1,((AK47+(IF(R47="IN-07",'Assumptions &amp; Inputs'!$E$65,AH47))*AN47)*AS47)+AY47+(((AK47+(IF(R47="IN-07",'Assumptions &amp; Inputs'!$E$65,AH47))*AN47)*AS47)*AZ47)+IF(BD47="Yes",(((AK47+(IF(R47="IN-07",'Assumptions &amp; Inputs'!$E$65,AH47))*AN47)*AS47)+AY47)*VLOOKUP("IN-34",'Assumptions &amp; Inputs'!$A$31:$F$69,5,FALSE),0),0)</f>
        <v>64800</v>
      </c>
      <c r="CG47" s="4">
        <f>IF(BS47=1,((AI47+(IF(R47="IN-07",0,AF47))*AL47)*AS47)+AW47+(((AI47+(IF(R47="IN-07",0,AF47))*AL47)*AS47)*AZ47)+IF(BD47="Yes",(((AI47+(IF(R47="IN-07",0,AF47))*AL47)*AS47)+AW47)*VLOOKUP("IN-34",'Assumptions &amp; Inputs'!$A$31:$F$69,3,FALSE),0),0)</f>
        <v>0</v>
      </c>
      <c r="CH47" s="4">
        <f>IF(BS47=1,((AJ47+(IF(R47="IN-07",0,AG47))*AM47)*AS47)+AX47+(((AJ47+(IF(R47="IN-07",0,AG47))*AM47)*AS47)*AZ47)+IF(BD47="Yes",(((AJ47+(IF(R47="IN-07",0,AG47))*AM47)*AS47)+AX47)*VLOOKUP("IN-34",'Assumptions &amp; Inputs'!$A$31:$F$69,4,FALSE),0),0)</f>
        <v>0</v>
      </c>
      <c r="CI47" s="4">
        <f>IF(BS47=1,((AK47+(IF(R47="IN-07",0,AH47))*AN47)*AS47)+AY47+(((AK47+(IF(R47="IN-07",0,AH47))*AN47)*AS47)*AZ47)+IF(BD47="Yes",(((AK47+(IF(R47="IN-07",0,AH47))*AN47)*AS47)+AY47)*VLOOKUP("IN-34",'Assumptions &amp; Inputs'!$A$31:$F$69,5,FALSE),0),0)</f>
        <v>0</v>
      </c>
      <c r="CJ47" s="4">
        <f>IF(BT47=1,((AI47+(IF(R47="IN-07",0,AF47))*AL47)*AS47)+AW47+(((AI47+(IF(R47="IN-07",0,AF47))*AL47)*AS47)*AZ47)+IF(BD47="Yes",(((AI47+(IF(R47="IN-07",0,AF47))*AL47)*AS47)+AW47)*VLOOKUP("IN-34",'Assumptions &amp; Inputs'!$A$31:$F$69,3,FALSE),0),0)</f>
        <v>0</v>
      </c>
      <c r="CK47" s="4">
        <f>IF(BT47=1,((AJ47+(IF(R47="IN-07",0,AG47))*AM47)*AS47)+AX47+(((AJ47+(IF(R47="IN-07",0,AG47))*AM47)*AS47)*AZ47)+IF(BD47="Yes",(((AJ47+(IF(R47="IN-07",0,AG47))*AM47)*AS47)+AX47)*VLOOKUP("IN-34",'Assumptions &amp; Inputs'!$A$31:$F$69,4,FALSE),0),0)</f>
        <v>0</v>
      </c>
      <c r="CL47" s="4">
        <f>IF(BT47=1,((AK47+(IF(R47="IN-07",0,AH47))*AN47)*AS47)+AY47+(((AK47+(IF(R47="IN-07",0,AH47))*AN47)*AS47)*AZ47)+IF(BD47="Yes",(((AK47+(IF(R47="IN-07",0,AH47))*AN47)*AS47)+AY47)*VLOOKUP("IN-34",'Assumptions &amp; Inputs'!$A$31:$F$69,5,FALSE),0),0)</f>
        <v>0</v>
      </c>
    </row>
    <row r="48" spans="1:90" ht="43.5" x14ac:dyDescent="0.35">
      <c r="A48" s="2" t="s">
        <v>1094</v>
      </c>
      <c r="B48" s="2" t="s">
        <v>1095</v>
      </c>
      <c r="C48" s="2" t="s">
        <v>48</v>
      </c>
      <c r="D48" s="2" t="s">
        <v>59</v>
      </c>
      <c r="E48" s="2" t="s">
        <v>1096</v>
      </c>
      <c r="F48" s="2" t="s">
        <v>1097</v>
      </c>
      <c r="G48" s="2" t="s">
        <v>1098</v>
      </c>
      <c r="H48" s="2" t="s">
        <v>1099</v>
      </c>
      <c r="I48" s="2" t="s">
        <v>810</v>
      </c>
      <c r="J48" s="2" t="s">
        <v>1100</v>
      </c>
      <c r="K48" s="2" t="s">
        <v>834</v>
      </c>
      <c r="L48" s="2" t="s">
        <v>810</v>
      </c>
      <c r="M48" s="2" t="s">
        <v>532</v>
      </c>
      <c r="N48" s="2" t="s">
        <v>180</v>
      </c>
      <c r="O48" s="2" t="s">
        <v>813</v>
      </c>
      <c r="P48" s="2" t="s">
        <v>534</v>
      </c>
      <c r="Q48" s="2" t="s">
        <v>799</v>
      </c>
      <c r="R48" s="2" t="s">
        <v>299</v>
      </c>
      <c r="S48" s="2" t="s">
        <v>536</v>
      </c>
      <c r="T48" s="2" t="s">
        <v>800</v>
      </c>
      <c r="U48" s="2" t="s">
        <v>1101</v>
      </c>
      <c r="V48" s="2" t="s">
        <v>815</v>
      </c>
      <c r="W48" s="2" t="s">
        <v>540</v>
      </c>
      <c r="X48" s="2" t="s">
        <v>817</v>
      </c>
      <c r="Y48" s="2" t="s">
        <v>1102</v>
      </c>
      <c r="Z48" s="2" t="s">
        <v>543</v>
      </c>
      <c r="AA48" s="2" t="s">
        <v>789</v>
      </c>
      <c r="AB48" s="2" t="s">
        <v>545</v>
      </c>
      <c r="AC48" s="2" t="s">
        <v>1103</v>
      </c>
      <c r="AD48" s="2" t="s">
        <v>804</v>
      </c>
      <c r="AE48" s="18">
        <f>IF(ISNUMBER(SEARCH('Scenario Definitions'!$C$5,N48)),1,0)</f>
        <v>1</v>
      </c>
      <c r="AF48" s="18">
        <f>IFERROR(VLOOKUP(R48,'Assumptions &amp; Inputs'!$A$31:$F$69,3,FALSE),0)</f>
        <v>1</v>
      </c>
      <c r="AG48" s="18">
        <f>IFERROR(VLOOKUP(R48,'Assumptions &amp; Inputs'!$A$31:$F$69,4,FALSE),0)</f>
        <v>1</v>
      </c>
      <c r="AH48" s="19">
        <f>IFERROR(VLOOKUP(R48,'Assumptions &amp; Inputs'!$A$31:$F$69,5,FALSE),0)</f>
        <v>1</v>
      </c>
      <c r="AI48" s="11">
        <v>90</v>
      </c>
      <c r="AJ48" s="11">
        <v>120</v>
      </c>
      <c r="AK48" s="11">
        <v>180</v>
      </c>
      <c r="AL48" s="11">
        <v>0</v>
      </c>
      <c r="AM48" s="11">
        <v>0</v>
      </c>
      <c r="AN48" s="11">
        <v>0</v>
      </c>
      <c r="AO48" s="37">
        <f t="shared" si="18"/>
        <v>90</v>
      </c>
      <c r="AP48" s="18">
        <f t="shared" si="19"/>
        <v>120</v>
      </c>
      <c r="AQ48" s="19">
        <f t="shared" si="20"/>
        <v>180</v>
      </c>
      <c r="AR48" s="58" t="s">
        <v>419</v>
      </c>
      <c r="AS48" s="33">
        <f>IFERROR(VLOOKUP(AR48,'Assumptions &amp; Inputs'!$A$73:$I$100,9,FALSE),0)</f>
        <v>120</v>
      </c>
      <c r="AT48" s="26">
        <f t="shared" si="21"/>
        <v>10800</v>
      </c>
      <c r="AU48" s="26">
        <f t="shared" si="22"/>
        <v>14400</v>
      </c>
      <c r="AV48" s="27">
        <f t="shared" si="23"/>
        <v>21600</v>
      </c>
      <c r="AW48" s="57">
        <v>2000</v>
      </c>
      <c r="AX48" s="57">
        <v>6000</v>
      </c>
      <c r="AY48" s="57">
        <v>15000</v>
      </c>
      <c r="AZ48" s="33">
        <f>IFERROR(VLOOKUP(C48,'Assumptions &amp; Inputs'!$A$104:$B$107,2,FALSE),0)</f>
        <v>0.35</v>
      </c>
      <c r="BA48" s="26">
        <f t="shared" si="24"/>
        <v>3779.9999999999995</v>
      </c>
      <c r="BB48" s="26">
        <f t="shared" si="25"/>
        <v>5040</v>
      </c>
      <c r="BC48" s="27">
        <f t="shared" si="26"/>
        <v>7559.9999999999991</v>
      </c>
      <c r="BD48" s="57" t="s">
        <v>209</v>
      </c>
      <c r="BE48" s="33">
        <f>IF(BD48="Yes",(AT48+AW48)*VLOOKUP("IN-34",'Assumptions &amp; Inputs'!$A$31:$F$69,3,FALSE),0)</f>
        <v>640</v>
      </c>
      <c r="BF48" s="26">
        <f>IF(BD48="Yes",(AU48+AX48)*VLOOKUP("IN-34",'Assumptions &amp; Inputs'!$A$31:$F$69,4,FALSE),0)</f>
        <v>1530</v>
      </c>
      <c r="BG48" s="26">
        <f>IF(BD48="Yes",(AV48+AY48)*VLOOKUP("IN-34",'Assumptions &amp; Inputs'!$A$31:$F$69,5,FALSE),0)</f>
        <v>5490</v>
      </c>
      <c r="BH48" s="26">
        <f t="shared" si="27"/>
        <v>17220</v>
      </c>
      <c r="BI48" s="26">
        <f t="shared" si="28"/>
        <v>26970</v>
      </c>
      <c r="BJ48" s="27">
        <f t="shared" si="29"/>
        <v>49650</v>
      </c>
      <c r="BK48" s="58" t="s">
        <v>548</v>
      </c>
      <c r="BL48" s="58" t="s">
        <v>549</v>
      </c>
      <c r="BM48" s="58" t="s">
        <v>789</v>
      </c>
      <c r="BN48" s="58" t="s">
        <v>550</v>
      </c>
      <c r="BO48" s="5">
        <f t="shared" si="30"/>
        <v>1</v>
      </c>
      <c r="BP48" s="5">
        <f t="shared" si="31"/>
        <v>1</v>
      </c>
      <c r="BQ48" s="5">
        <f t="shared" si="32"/>
        <v>1</v>
      </c>
      <c r="BR48" s="5">
        <f t="shared" si="33"/>
        <v>1</v>
      </c>
      <c r="BS48" s="5">
        <f t="shared" si="34"/>
        <v>0</v>
      </c>
      <c r="BT48" s="5">
        <f t="shared" si="35"/>
        <v>0</v>
      </c>
      <c r="BU48" s="4">
        <f>IF(BO48=1,((AI48+(IF(R48="IN-07",'Assumptions &amp; Inputs'!$C$66,AF48))*AL48)*AS48)+AW48+(((AI48+(IF(R48="IN-07",'Assumptions &amp; Inputs'!$C$66,AF48))*AL48)*AS48)*AZ48)+IF(BD48="Yes",(((AI48+(IF(R48="IN-07",'Assumptions &amp; Inputs'!$C$66,AF48))*AL48)*AS48)+AW48)*VLOOKUP("IN-34",'Assumptions &amp; Inputs'!$A$31:$F$69,3,FALSE),0),0)</f>
        <v>17220</v>
      </c>
      <c r="BV48" s="4">
        <f>IF(BO48=1,((AJ48+(IF(R48="IN-07",'Assumptions &amp; Inputs'!$D$66,AG48))*AM48)*AS48)+AX48+(((AJ48+(IF(R48="IN-07",'Assumptions &amp; Inputs'!$D$66,AG48))*AM48)*AS48)*AZ48)+IF(BD48="Yes",(((AJ48+(IF(R48="IN-07",'Assumptions &amp; Inputs'!$D$66,AG48))*AM48)*AS48)+AX48)*VLOOKUP("IN-34",'Assumptions &amp; Inputs'!$A$31:$F$69,4,FALSE),0),0)</f>
        <v>26970</v>
      </c>
      <c r="BW48" s="4">
        <f>IF(BO48=1,((AK48+(IF(R48="IN-07",'Assumptions &amp; Inputs'!$E$66,AH48))*AN48)*AS48)+AY48+(((AK48+(IF(R48="IN-07",'Assumptions &amp; Inputs'!$E$66,AH48))*AN48)*AS48)*AZ48)+IF(BD48="Yes",(((AK48+(IF(R48="IN-07",'Assumptions &amp; Inputs'!$E$66,AH48))*AN48)*AS48)+AY48)*VLOOKUP("IN-34",'Assumptions &amp; Inputs'!$A$31:$F$69,5,FALSE),0),0)</f>
        <v>49650</v>
      </c>
      <c r="BX48" s="4">
        <f>IF(BP48=1,((AI48+(IF(R48="IN-07",'Assumptions &amp; Inputs'!$C$66,AF48))*AL48)*AS48)+AW48+(((AI48+(IF(R48="IN-07",'Assumptions &amp; Inputs'!$C$66,AF48))*AL48)*AS48)*AZ48)+IF(BD48="Yes",(((AI48+(IF(R48="IN-07",'Assumptions &amp; Inputs'!$C$66,AF48))*AL48)*AS48)+AW48)*VLOOKUP("IN-34",'Assumptions &amp; Inputs'!$A$31:$F$69,3,FALSE),0),0)</f>
        <v>17220</v>
      </c>
      <c r="BY48" s="4">
        <f>IF(BP48=1,((AJ48+(IF(R48="IN-07",'Assumptions &amp; Inputs'!$D$66,AG48))*AM48)*AS48)+AX48+(((AJ48+(IF(R48="IN-07",'Assumptions &amp; Inputs'!$D$66,AG48))*AM48)*AS48)*AZ48)+IF(BD48="Yes",(((AJ48+(IF(R48="IN-07",'Assumptions &amp; Inputs'!$D$66,AG48))*AM48)*AS48)+AX48)*VLOOKUP("IN-34",'Assumptions &amp; Inputs'!$A$31:$F$69,4,FALSE),0),0)</f>
        <v>26970</v>
      </c>
      <c r="BZ48" s="4">
        <f>IF(BP48=1,((AK48+(IF(R48="IN-07",'Assumptions &amp; Inputs'!$E$66,AH48))*AN48)*AS48)+AY48+(((AK48+(IF(R48="IN-07",'Assumptions &amp; Inputs'!$E$66,AH48))*AN48)*AS48)*AZ48)+IF(BD48="Yes",(((AK48+(IF(R48="IN-07",'Assumptions &amp; Inputs'!$E$66,AH48))*AN48)*AS48)+AY48)*VLOOKUP("IN-34",'Assumptions &amp; Inputs'!$A$31:$F$69,5,FALSE),0),0)</f>
        <v>49650</v>
      </c>
      <c r="CA48" s="4">
        <f>IF(BQ48=1,((AI48+(IF(R48="IN-07",'Assumptions &amp; Inputs'!$C$65,AF48))*AL48)*AS48)+AW48+(((AI48+(IF(R48="IN-07",'Assumptions &amp; Inputs'!$C$65,AF48))*AL48)*AS48)*AZ48)+IF(BD48="Yes",(((AI48+(IF(R48="IN-07",'Assumptions &amp; Inputs'!$C$65,AF48))*AL48)*AS48)+AW48)*VLOOKUP("IN-34",'Assumptions &amp; Inputs'!$A$31:$F$69,3,FALSE),0),0)</f>
        <v>17220</v>
      </c>
      <c r="CB48" s="4">
        <f>IF(BQ48=1,((AJ48+(IF(R48="IN-07",'Assumptions &amp; Inputs'!$D$65,AG48))*AM48)*AS48)+AX48+(((AJ48+(IF(R48="IN-07",'Assumptions &amp; Inputs'!$D$65,AG48))*AM48)*AS48)*AZ48)+IF(BD48="Yes",(((AJ48+(IF(R48="IN-07",'Assumptions &amp; Inputs'!$D$65,AG48))*AM48)*AS48)+AX48)*VLOOKUP("IN-34",'Assumptions &amp; Inputs'!$A$31:$F$69,4,FALSE),0),0)</f>
        <v>26970</v>
      </c>
      <c r="CC48" s="4">
        <f>IF(BQ48=1,((AK48+(IF(R48="IN-07",'Assumptions &amp; Inputs'!$E$65,AH48))*AN48)*AS48)+AY48+(((AK48+(IF(R48="IN-07",'Assumptions &amp; Inputs'!$E$65,AH48))*AN48)*AS48)*AZ48)+IF(BD48="Yes",(((AK48+(IF(R48="IN-07",'Assumptions &amp; Inputs'!$E$65,AH48))*AN48)*AS48)+AY48)*VLOOKUP("IN-34",'Assumptions &amp; Inputs'!$A$31:$F$69,5,FALSE),0),0)</f>
        <v>49650</v>
      </c>
      <c r="CD48" s="4">
        <f>IF(BR48=1,((AI48+(IF(R48="IN-07",'Assumptions &amp; Inputs'!$C$65,AF48))*AL48)*AS48)+AW48+(((AI48+(IF(R48="IN-07",'Assumptions &amp; Inputs'!$C$65,AF48))*AL48)*AS48)*AZ48)+IF(BD48="Yes",(((AI48+(IF(R48="IN-07",'Assumptions &amp; Inputs'!$C$65,AF48))*AL48)*AS48)+AW48)*VLOOKUP("IN-34",'Assumptions &amp; Inputs'!$A$31:$F$69,3,FALSE),0),0)</f>
        <v>17220</v>
      </c>
      <c r="CE48" s="4">
        <f>IF(BR48=1,((AJ48+(IF(R48="IN-07",'Assumptions &amp; Inputs'!$D$65,AG48))*AM48)*AS48)+AX48+(((AJ48+(IF(R48="IN-07",'Assumptions &amp; Inputs'!$D$65,AG48))*AM48)*AS48)*AZ48)+IF(BD48="Yes",(((AJ48+(IF(R48="IN-07",'Assumptions &amp; Inputs'!$D$65,AG48))*AM48)*AS48)+AX48)*VLOOKUP("IN-34",'Assumptions &amp; Inputs'!$A$31:$F$69,4,FALSE),0),0)</f>
        <v>26970</v>
      </c>
      <c r="CF48" s="4">
        <f>IF(BR48=1,((AK48+(IF(R48="IN-07",'Assumptions &amp; Inputs'!$E$65,AH48))*AN48)*AS48)+AY48+(((AK48+(IF(R48="IN-07",'Assumptions &amp; Inputs'!$E$65,AH48))*AN48)*AS48)*AZ48)+IF(BD48="Yes",(((AK48+(IF(R48="IN-07",'Assumptions &amp; Inputs'!$E$65,AH48))*AN48)*AS48)+AY48)*VLOOKUP("IN-34",'Assumptions &amp; Inputs'!$A$31:$F$69,5,FALSE),0),0)</f>
        <v>49650</v>
      </c>
      <c r="CG48" s="4">
        <f>IF(BS48=1,((AI48+(IF(R48="IN-07",0,AF48))*AL48)*AS48)+AW48+(((AI48+(IF(R48="IN-07",0,AF48))*AL48)*AS48)*AZ48)+IF(BD48="Yes",(((AI48+(IF(R48="IN-07",0,AF48))*AL48)*AS48)+AW48)*VLOOKUP("IN-34",'Assumptions &amp; Inputs'!$A$31:$F$69,3,FALSE),0),0)</f>
        <v>0</v>
      </c>
      <c r="CH48" s="4">
        <f>IF(BS48=1,((AJ48+(IF(R48="IN-07",0,AG48))*AM48)*AS48)+AX48+(((AJ48+(IF(R48="IN-07",0,AG48))*AM48)*AS48)*AZ48)+IF(BD48="Yes",(((AJ48+(IF(R48="IN-07",0,AG48))*AM48)*AS48)+AX48)*VLOOKUP("IN-34",'Assumptions &amp; Inputs'!$A$31:$F$69,4,FALSE),0),0)</f>
        <v>0</v>
      </c>
      <c r="CI48" s="4">
        <f>IF(BS48=1,((AK48+(IF(R48="IN-07",0,AH48))*AN48)*AS48)+AY48+(((AK48+(IF(R48="IN-07",0,AH48))*AN48)*AS48)*AZ48)+IF(BD48="Yes",(((AK48+(IF(R48="IN-07",0,AH48))*AN48)*AS48)+AY48)*VLOOKUP("IN-34",'Assumptions &amp; Inputs'!$A$31:$F$69,5,FALSE),0),0)</f>
        <v>0</v>
      </c>
      <c r="CJ48" s="4">
        <f>IF(BT48=1,((AI48+(IF(R48="IN-07",0,AF48))*AL48)*AS48)+AW48+(((AI48+(IF(R48="IN-07",0,AF48))*AL48)*AS48)*AZ48)+IF(BD48="Yes",(((AI48+(IF(R48="IN-07",0,AF48))*AL48)*AS48)+AW48)*VLOOKUP("IN-34",'Assumptions &amp; Inputs'!$A$31:$F$69,3,FALSE),0),0)</f>
        <v>0</v>
      </c>
      <c r="CK48" s="4">
        <f>IF(BT48=1,((AJ48+(IF(R48="IN-07",0,AG48))*AM48)*AS48)+AX48+(((AJ48+(IF(R48="IN-07",0,AG48))*AM48)*AS48)*AZ48)+IF(BD48="Yes",(((AJ48+(IF(R48="IN-07",0,AG48))*AM48)*AS48)+AX48)*VLOOKUP("IN-34",'Assumptions &amp; Inputs'!$A$31:$F$69,4,FALSE),0),0)</f>
        <v>0</v>
      </c>
      <c r="CL48" s="4">
        <f>IF(BT48=1,((AK48+(IF(R48="IN-07",0,AH48))*AN48)*AS48)+AY48+(((AK48+(IF(R48="IN-07",0,AH48))*AN48)*AS48)*AZ48)+IF(BD48="Yes",(((AK48+(IF(R48="IN-07",0,AH48))*AN48)*AS48)+AY48)*VLOOKUP("IN-34",'Assumptions &amp; Inputs'!$A$31:$F$69,5,FALSE),0),0)</f>
        <v>0</v>
      </c>
    </row>
    <row r="49" spans="1:90" ht="43.5" x14ac:dyDescent="0.35">
      <c r="A49" s="51" t="s">
        <v>1104</v>
      </c>
      <c r="B49" s="51" t="s">
        <v>189</v>
      </c>
      <c r="C49" s="51" t="s">
        <v>49</v>
      </c>
      <c r="D49" s="51" t="s">
        <v>52</v>
      </c>
      <c r="E49" s="51" t="s">
        <v>1105</v>
      </c>
      <c r="F49" s="51" t="s">
        <v>1106</v>
      </c>
      <c r="G49" s="51" t="s">
        <v>1107</v>
      </c>
      <c r="H49" s="51" t="s">
        <v>1108</v>
      </c>
      <c r="I49" s="51" t="s">
        <v>49</v>
      </c>
      <c r="J49" s="51" t="s">
        <v>1109</v>
      </c>
      <c r="K49" s="51" t="s">
        <v>1110</v>
      </c>
      <c r="L49" s="51" t="s">
        <v>49</v>
      </c>
      <c r="M49" s="51" t="s">
        <v>532</v>
      </c>
      <c r="N49" s="51" t="s">
        <v>160</v>
      </c>
      <c r="O49" s="51" t="s">
        <v>813</v>
      </c>
      <c r="P49" s="51" t="s">
        <v>556</v>
      </c>
      <c r="Q49" s="51" t="s">
        <v>557</v>
      </c>
      <c r="R49" s="51" t="s">
        <v>339</v>
      </c>
      <c r="S49" s="51" t="s">
        <v>558</v>
      </c>
      <c r="T49" s="51" t="s">
        <v>537</v>
      </c>
      <c r="U49" s="51" t="s">
        <v>1111</v>
      </c>
      <c r="V49" s="51" t="s">
        <v>1112</v>
      </c>
      <c r="W49" s="51" t="s">
        <v>1113</v>
      </c>
      <c r="X49" s="51" t="s">
        <v>817</v>
      </c>
      <c r="Y49" s="51" t="s">
        <v>1114</v>
      </c>
      <c r="Z49" s="51" t="s">
        <v>543</v>
      </c>
      <c r="AA49" s="51" t="s">
        <v>1115</v>
      </c>
      <c r="AB49" s="51" t="s">
        <v>36</v>
      </c>
      <c r="AC49" s="51" t="s">
        <v>1116</v>
      </c>
      <c r="AD49" s="51" t="s">
        <v>574</v>
      </c>
      <c r="AE49" s="20">
        <f>IF(ISNUMBER(SEARCH('Scenario Definitions'!$C$5,N49)),1,0)</f>
        <v>1</v>
      </c>
      <c r="AF49" s="20">
        <f>IFERROR(VLOOKUP(R49,'Assumptions &amp; Inputs'!$A$31:$F$69,3,FALSE),0)</f>
        <v>12</v>
      </c>
      <c r="AG49" s="20">
        <f>IFERROR(VLOOKUP(R49,'Assumptions &amp; Inputs'!$A$31:$F$69,4,FALSE),0)</f>
        <v>12</v>
      </c>
      <c r="AH49" s="21">
        <f>IFERROR(VLOOKUP(R49,'Assumptions &amp; Inputs'!$A$31:$F$69,5,FALSE),0)</f>
        <v>14</v>
      </c>
      <c r="AI49" s="11">
        <v>0</v>
      </c>
      <c r="AJ49" s="11">
        <v>0</v>
      </c>
      <c r="AK49" s="11">
        <v>0</v>
      </c>
      <c r="AL49" s="11">
        <v>24</v>
      </c>
      <c r="AM49" s="11">
        <v>32</v>
      </c>
      <c r="AN49" s="11">
        <v>48</v>
      </c>
      <c r="AO49" s="38">
        <f t="shared" si="18"/>
        <v>288</v>
      </c>
      <c r="AP49" s="20">
        <f t="shared" si="19"/>
        <v>384</v>
      </c>
      <c r="AQ49" s="21">
        <f t="shared" si="20"/>
        <v>672</v>
      </c>
      <c r="AR49" s="58" t="s">
        <v>423</v>
      </c>
      <c r="AS49" s="34">
        <f>IFERROR(VLOOKUP(AR49,'Assumptions &amp; Inputs'!$A$73:$I$100,9,FALSE),0)</f>
        <v>125</v>
      </c>
      <c r="AT49" s="28">
        <f t="shared" si="21"/>
        <v>36000</v>
      </c>
      <c r="AU49" s="28">
        <f t="shared" si="22"/>
        <v>48000</v>
      </c>
      <c r="AV49" s="29">
        <f t="shared" si="23"/>
        <v>84000</v>
      </c>
      <c r="AW49" s="57">
        <v>3000</v>
      </c>
      <c r="AX49" s="57">
        <v>8000</v>
      </c>
      <c r="AY49" s="57">
        <v>18000</v>
      </c>
      <c r="AZ49" s="34">
        <f>IFERROR(VLOOKUP(C49,'Assumptions &amp; Inputs'!$A$104:$B$107,2,FALSE),0)</f>
        <v>0.3</v>
      </c>
      <c r="BA49" s="28">
        <f t="shared" si="24"/>
        <v>10800</v>
      </c>
      <c r="BB49" s="28">
        <f t="shared" si="25"/>
        <v>14400</v>
      </c>
      <c r="BC49" s="29">
        <f t="shared" si="26"/>
        <v>25200</v>
      </c>
      <c r="BD49" s="57" t="s">
        <v>209</v>
      </c>
      <c r="BE49" s="34">
        <f>IF(BD49="Yes",(AT49+AW49)*VLOOKUP("IN-34",'Assumptions &amp; Inputs'!$A$31:$F$69,3,FALSE),0)</f>
        <v>1950</v>
      </c>
      <c r="BF49" s="28">
        <f>IF(BD49="Yes",(AU49+AX49)*VLOOKUP("IN-34",'Assumptions &amp; Inputs'!$A$31:$F$69,4,FALSE),0)</f>
        <v>4200</v>
      </c>
      <c r="BG49" s="28">
        <f>IF(BD49="Yes",(AV49+AY49)*VLOOKUP("IN-34",'Assumptions &amp; Inputs'!$A$31:$F$69,5,FALSE),0)</f>
        <v>15300</v>
      </c>
      <c r="BH49" s="28">
        <f t="shared" si="27"/>
        <v>51750</v>
      </c>
      <c r="BI49" s="28">
        <f t="shared" si="28"/>
        <v>74600</v>
      </c>
      <c r="BJ49" s="29">
        <f t="shared" si="29"/>
        <v>142500</v>
      </c>
      <c r="BK49" s="58" t="s">
        <v>548</v>
      </c>
      <c r="BL49" s="58" t="s">
        <v>549</v>
      </c>
      <c r="BM49" s="58" t="s">
        <v>1115</v>
      </c>
      <c r="BN49" s="58" t="s">
        <v>550</v>
      </c>
      <c r="BO49" s="5">
        <f t="shared" si="30"/>
        <v>0</v>
      </c>
      <c r="BP49" s="5">
        <f t="shared" si="31"/>
        <v>0</v>
      </c>
      <c r="BQ49" s="5">
        <f t="shared" si="32"/>
        <v>1</v>
      </c>
      <c r="BR49" s="5">
        <f t="shared" si="33"/>
        <v>1</v>
      </c>
      <c r="BS49" s="5">
        <f t="shared" si="34"/>
        <v>1</v>
      </c>
      <c r="BT49" s="5">
        <f t="shared" si="35"/>
        <v>1</v>
      </c>
      <c r="BU49" s="4">
        <f>IF(BO49=1,((AI49+(IF(R49="IN-07",'Assumptions &amp; Inputs'!$C$66,AF49))*AL49)*AS49)+AW49+(((AI49+(IF(R49="IN-07",'Assumptions &amp; Inputs'!$C$66,AF49))*AL49)*AS49)*AZ49)+IF(BD49="Yes",(((AI49+(IF(R49="IN-07",'Assumptions &amp; Inputs'!$C$66,AF49))*AL49)*AS49)+AW49)*VLOOKUP("IN-34",'Assumptions &amp; Inputs'!$A$31:$F$69,3,FALSE),0),0)</f>
        <v>0</v>
      </c>
      <c r="BV49" s="4">
        <f>IF(BO49=1,((AJ49+(IF(R49="IN-07",'Assumptions &amp; Inputs'!$D$66,AG49))*AM49)*AS49)+AX49+(((AJ49+(IF(R49="IN-07",'Assumptions &amp; Inputs'!$D$66,AG49))*AM49)*AS49)*AZ49)+IF(BD49="Yes",(((AJ49+(IF(R49="IN-07",'Assumptions &amp; Inputs'!$D$66,AG49))*AM49)*AS49)+AX49)*VLOOKUP("IN-34",'Assumptions &amp; Inputs'!$A$31:$F$69,4,FALSE),0),0)</f>
        <v>0</v>
      </c>
      <c r="BW49" s="4">
        <f>IF(BO49=1,((AK49+(IF(R49="IN-07",'Assumptions &amp; Inputs'!$E$66,AH49))*AN49)*AS49)+AY49+(((AK49+(IF(R49="IN-07",'Assumptions &amp; Inputs'!$E$66,AH49))*AN49)*AS49)*AZ49)+IF(BD49="Yes",(((AK49+(IF(R49="IN-07",'Assumptions &amp; Inputs'!$E$66,AH49))*AN49)*AS49)+AY49)*VLOOKUP("IN-34",'Assumptions &amp; Inputs'!$A$31:$F$69,5,FALSE),0),0)</f>
        <v>0</v>
      </c>
      <c r="BX49" s="4">
        <f>IF(BP49=1,((AI49+(IF(R49="IN-07",'Assumptions &amp; Inputs'!$C$66,AF49))*AL49)*AS49)+AW49+(((AI49+(IF(R49="IN-07",'Assumptions &amp; Inputs'!$C$66,AF49))*AL49)*AS49)*AZ49)+IF(BD49="Yes",(((AI49+(IF(R49="IN-07",'Assumptions &amp; Inputs'!$C$66,AF49))*AL49)*AS49)+AW49)*VLOOKUP("IN-34",'Assumptions &amp; Inputs'!$A$31:$F$69,3,FALSE),0),0)</f>
        <v>0</v>
      </c>
      <c r="BY49" s="4">
        <f>IF(BP49=1,((AJ49+(IF(R49="IN-07",'Assumptions &amp; Inputs'!$D$66,AG49))*AM49)*AS49)+AX49+(((AJ49+(IF(R49="IN-07",'Assumptions &amp; Inputs'!$D$66,AG49))*AM49)*AS49)*AZ49)+IF(BD49="Yes",(((AJ49+(IF(R49="IN-07",'Assumptions &amp; Inputs'!$D$66,AG49))*AM49)*AS49)+AX49)*VLOOKUP("IN-34",'Assumptions &amp; Inputs'!$A$31:$F$69,4,FALSE),0),0)</f>
        <v>0</v>
      </c>
      <c r="BZ49" s="4">
        <f>IF(BP49=1,((AK49+(IF(R49="IN-07",'Assumptions &amp; Inputs'!$E$66,AH49))*AN49)*AS49)+AY49+(((AK49+(IF(R49="IN-07",'Assumptions &amp; Inputs'!$E$66,AH49))*AN49)*AS49)*AZ49)+IF(BD49="Yes",(((AK49+(IF(R49="IN-07",'Assumptions &amp; Inputs'!$E$66,AH49))*AN49)*AS49)+AY49)*VLOOKUP("IN-34",'Assumptions &amp; Inputs'!$A$31:$F$69,5,FALSE),0),0)</f>
        <v>0</v>
      </c>
      <c r="CA49" s="4">
        <f>IF(BQ49=1,((AI49+(IF(R49="IN-07",'Assumptions &amp; Inputs'!$C$65,AF49))*AL49)*AS49)+AW49+(((AI49+(IF(R49="IN-07",'Assumptions &amp; Inputs'!$C$65,AF49))*AL49)*AS49)*AZ49)+IF(BD49="Yes",(((AI49+(IF(R49="IN-07",'Assumptions &amp; Inputs'!$C$65,AF49))*AL49)*AS49)+AW49)*VLOOKUP("IN-34",'Assumptions &amp; Inputs'!$A$31:$F$69,3,FALSE),0),0)</f>
        <v>51750</v>
      </c>
      <c r="CB49" s="4">
        <f>IF(BQ49=1,((AJ49+(IF(R49="IN-07",'Assumptions &amp; Inputs'!$D$65,AG49))*AM49)*AS49)+AX49+(((AJ49+(IF(R49="IN-07",'Assumptions &amp; Inputs'!$D$65,AG49))*AM49)*AS49)*AZ49)+IF(BD49="Yes",(((AJ49+(IF(R49="IN-07",'Assumptions &amp; Inputs'!$D$65,AG49))*AM49)*AS49)+AX49)*VLOOKUP("IN-34",'Assumptions &amp; Inputs'!$A$31:$F$69,4,FALSE),0),0)</f>
        <v>74600</v>
      </c>
      <c r="CC49" s="4">
        <f>IF(BQ49=1,((AK49+(IF(R49="IN-07",'Assumptions &amp; Inputs'!$E$65,AH49))*AN49)*AS49)+AY49+(((AK49+(IF(R49="IN-07",'Assumptions &amp; Inputs'!$E$65,AH49))*AN49)*AS49)*AZ49)+IF(BD49="Yes",(((AK49+(IF(R49="IN-07",'Assumptions &amp; Inputs'!$E$65,AH49))*AN49)*AS49)+AY49)*VLOOKUP("IN-34",'Assumptions &amp; Inputs'!$A$31:$F$69,5,FALSE),0),0)</f>
        <v>142500</v>
      </c>
      <c r="CD49" s="4">
        <f>IF(BR49=1,((AI49+(IF(R49="IN-07",'Assumptions &amp; Inputs'!$C$65,AF49))*AL49)*AS49)+AW49+(((AI49+(IF(R49="IN-07",'Assumptions &amp; Inputs'!$C$65,AF49))*AL49)*AS49)*AZ49)+IF(BD49="Yes",(((AI49+(IF(R49="IN-07",'Assumptions &amp; Inputs'!$C$65,AF49))*AL49)*AS49)+AW49)*VLOOKUP("IN-34",'Assumptions &amp; Inputs'!$A$31:$F$69,3,FALSE),0),0)</f>
        <v>51750</v>
      </c>
      <c r="CE49" s="4">
        <f>IF(BR49=1,((AJ49+(IF(R49="IN-07",'Assumptions &amp; Inputs'!$D$65,AG49))*AM49)*AS49)+AX49+(((AJ49+(IF(R49="IN-07",'Assumptions &amp; Inputs'!$D$65,AG49))*AM49)*AS49)*AZ49)+IF(BD49="Yes",(((AJ49+(IF(R49="IN-07",'Assumptions &amp; Inputs'!$D$65,AG49))*AM49)*AS49)+AX49)*VLOOKUP("IN-34",'Assumptions &amp; Inputs'!$A$31:$F$69,4,FALSE),0),0)</f>
        <v>74600</v>
      </c>
      <c r="CF49" s="4">
        <f>IF(BR49=1,((AK49+(IF(R49="IN-07",'Assumptions &amp; Inputs'!$E$65,AH49))*AN49)*AS49)+AY49+(((AK49+(IF(R49="IN-07",'Assumptions &amp; Inputs'!$E$65,AH49))*AN49)*AS49)*AZ49)+IF(BD49="Yes",(((AK49+(IF(R49="IN-07",'Assumptions &amp; Inputs'!$E$65,AH49))*AN49)*AS49)+AY49)*VLOOKUP("IN-34",'Assumptions &amp; Inputs'!$A$31:$F$69,5,FALSE),0),0)</f>
        <v>142500</v>
      </c>
      <c r="CG49" s="4">
        <f>IF(BS49=1,((AI49+(IF(R49="IN-07",0,AF49))*AL49)*AS49)+AW49+(((AI49+(IF(R49="IN-07",0,AF49))*AL49)*AS49)*AZ49)+IF(BD49="Yes",(((AI49+(IF(R49="IN-07",0,AF49))*AL49)*AS49)+AW49)*VLOOKUP("IN-34",'Assumptions &amp; Inputs'!$A$31:$F$69,3,FALSE),0),0)</f>
        <v>51750</v>
      </c>
      <c r="CH49" s="4">
        <f>IF(BS49=1,((AJ49+(IF(R49="IN-07",0,AG49))*AM49)*AS49)+AX49+(((AJ49+(IF(R49="IN-07",0,AG49))*AM49)*AS49)*AZ49)+IF(BD49="Yes",(((AJ49+(IF(R49="IN-07",0,AG49))*AM49)*AS49)+AX49)*VLOOKUP("IN-34",'Assumptions &amp; Inputs'!$A$31:$F$69,4,FALSE),0),0)</f>
        <v>74600</v>
      </c>
      <c r="CI49" s="4">
        <f>IF(BS49=1,((AK49+(IF(R49="IN-07",0,AH49))*AN49)*AS49)+AY49+(((AK49+(IF(R49="IN-07",0,AH49))*AN49)*AS49)*AZ49)+IF(BD49="Yes",(((AK49+(IF(R49="IN-07",0,AH49))*AN49)*AS49)+AY49)*VLOOKUP("IN-34",'Assumptions &amp; Inputs'!$A$31:$F$69,5,FALSE),0),0)</f>
        <v>142500</v>
      </c>
      <c r="CJ49" s="4">
        <f>IF(BT49=1,((AI49+(IF(R49="IN-07",0,AF49))*AL49)*AS49)+AW49+(((AI49+(IF(R49="IN-07",0,AF49))*AL49)*AS49)*AZ49)+IF(BD49="Yes",(((AI49+(IF(R49="IN-07",0,AF49))*AL49)*AS49)+AW49)*VLOOKUP("IN-34",'Assumptions &amp; Inputs'!$A$31:$F$69,3,FALSE),0),0)</f>
        <v>51750</v>
      </c>
      <c r="CK49" s="4">
        <f>IF(BT49=1,((AJ49+(IF(R49="IN-07",0,AG49))*AM49)*AS49)+AX49+(((AJ49+(IF(R49="IN-07",0,AG49))*AM49)*AS49)*AZ49)+IF(BD49="Yes",(((AJ49+(IF(R49="IN-07",0,AG49))*AM49)*AS49)+AX49)*VLOOKUP("IN-34",'Assumptions &amp; Inputs'!$A$31:$F$69,4,FALSE),0),0)</f>
        <v>74600</v>
      </c>
      <c r="CL49" s="4">
        <f>IF(BT49=1,((AK49+(IF(R49="IN-07",0,AH49))*AN49)*AS49)+AY49+(((AK49+(IF(R49="IN-07",0,AH49))*AN49)*AS49)*AZ49)+IF(BD49="Yes",(((AK49+(IF(R49="IN-07",0,AH49))*AN49)*AS49)+AY49)*VLOOKUP("IN-34",'Assumptions &amp; Inputs'!$A$31:$F$69,5,FALSE),0),0)</f>
        <v>142500</v>
      </c>
    </row>
    <row r="50" spans="1:90" ht="43.5" x14ac:dyDescent="0.35">
      <c r="A50" s="51" t="s">
        <v>1117</v>
      </c>
      <c r="B50" s="51" t="s">
        <v>190</v>
      </c>
      <c r="C50" s="51" t="s">
        <v>49</v>
      </c>
      <c r="D50" s="51" t="s">
        <v>53</v>
      </c>
      <c r="E50" s="51" t="s">
        <v>1118</v>
      </c>
      <c r="F50" s="51" t="s">
        <v>1119</v>
      </c>
      <c r="G50" s="51" t="s">
        <v>1120</v>
      </c>
      <c r="H50" s="51" t="s">
        <v>1121</v>
      </c>
      <c r="I50" s="51" t="s">
        <v>49</v>
      </c>
      <c r="J50" s="51" t="s">
        <v>1122</v>
      </c>
      <c r="K50" s="51" t="s">
        <v>1123</v>
      </c>
      <c r="L50" s="51" t="s">
        <v>49</v>
      </c>
      <c r="M50" s="51" t="s">
        <v>532</v>
      </c>
      <c r="N50" s="51" t="s">
        <v>160</v>
      </c>
      <c r="O50" s="51" t="s">
        <v>813</v>
      </c>
      <c r="P50" s="51" t="s">
        <v>593</v>
      </c>
      <c r="Q50" s="51" t="s">
        <v>1124</v>
      </c>
      <c r="R50" s="51" t="s">
        <v>320</v>
      </c>
      <c r="S50" s="51" t="s">
        <v>595</v>
      </c>
      <c r="T50" s="51" t="s">
        <v>596</v>
      </c>
      <c r="U50" s="51" t="s">
        <v>1125</v>
      </c>
      <c r="V50" s="51" t="s">
        <v>1126</v>
      </c>
      <c r="W50" s="51" t="s">
        <v>598</v>
      </c>
      <c r="X50" s="51" t="s">
        <v>1127</v>
      </c>
      <c r="Y50" s="51" t="s">
        <v>1128</v>
      </c>
      <c r="Z50" s="51" t="s">
        <v>543</v>
      </c>
      <c r="AA50" s="51" t="s">
        <v>602</v>
      </c>
      <c r="AB50" s="51" t="s">
        <v>36</v>
      </c>
      <c r="AC50" s="51" t="s">
        <v>603</v>
      </c>
      <c r="AD50" s="51" t="s">
        <v>604</v>
      </c>
      <c r="AE50" s="20">
        <f>IF(ISNUMBER(SEARCH('Scenario Definitions'!$C$5,N50)),1,0)</f>
        <v>1</v>
      </c>
      <c r="AF50" s="20">
        <f>IFERROR(VLOOKUP(R50,'Assumptions &amp; Inputs'!$A$31:$F$69,3,FALSE),0)</f>
        <v>6</v>
      </c>
      <c r="AG50" s="20">
        <f>IFERROR(VLOOKUP(R50,'Assumptions &amp; Inputs'!$A$31:$F$69,4,FALSE),0)</f>
        <v>11</v>
      </c>
      <c r="AH50" s="21">
        <f>IFERROR(VLOOKUP(R50,'Assumptions &amp; Inputs'!$A$31:$F$69,5,FALSE),0)</f>
        <v>21</v>
      </c>
      <c r="AI50" s="11">
        <v>0</v>
      </c>
      <c r="AJ50" s="11">
        <v>0</v>
      </c>
      <c r="AK50" s="11">
        <v>0</v>
      </c>
      <c r="AL50" s="11">
        <v>20.2</v>
      </c>
      <c r="AM50" s="11">
        <v>27</v>
      </c>
      <c r="AN50" s="11">
        <v>40.5</v>
      </c>
      <c r="AO50" s="38">
        <f t="shared" si="18"/>
        <v>121.19999999999999</v>
      </c>
      <c r="AP50" s="20">
        <f t="shared" si="19"/>
        <v>297</v>
      </c>
      <c r="AQ50" s="21">
        <f t="shared" si="20"/>
        <v>850.5</v>
      </c>
      <c r="AR50" s="58" t="s">
        <v>427</v>
      </c>
      <c r="AS50" s="34">
        <f>IFERROR(VLOOKUP(AR50,'Assumptions &amp; Inputs'!$A$73:$I$100,9,FALSE),0)</f>
        <v>190</v>
      </c>
      <c r="AT50" s="28">
        <f t="shared" si="21"/>
        <v>23027.999999999996</v>
      </c>
      <c r="AU50" s="28">
        <f t="shared" si="22"/>
        <v>56430</v>
      </c>
      <c r="AV50" s="29">
        <f t="shared" si="23"/>
        <v>161595</v>
      </c>
      <c r="AW50" s="57">
        <v>0</v>
      </c>
      <c r="AX50" s="57">
        <v>0</v>
      </c>
      <c r="AY50" s="57">
        <v>30000</v>
      </c>
      <c r="AZ50" s="34">
        <f>IFERROR(VLOOKUP(C50,'Assumptions &amp; Inputs'!$A$104:$B$107,2,FALSE),0)</f>
        <v>0.3</v>
      </c>
      <c r="BA50" s="28">
        <f t="shared" si="24"/>
        <v>6908.3999999999987</v>
      </c>
      <c r="BB50" s="28">
        <f t="shared" si="25"/>
        <v>16929</v>
      </c>
      <c r="BC50" s="29">
        <f t="shared" si="26"/>
        <v>48478.5</v>
      </c>
      <c r="BD50" s="57" t="s">
        <v>209</v>
      </c>
      <c r="BE50" s="34">
        <f>IF(BD50="Yes",(AT50+AW50)*VLOOKUP("IN-34",'Assumptions &amp; Inputs'!$A$31:$F$69,3,FALSE),0)</f>
        <v>1151.3999999999999</v>
      </c>
      <c r="BF50" s="28">
        <f>IF(BD50="Yes",(AU50+AX50)*VLOOKUP("IN-34",'Assumptions &amp; Inputs'!$A$31:$F$69,4,FALSE),0)</f>
        <v>4232.25</v>
      </c>
      <c r="BG50" s="28">
        <f>IF(BD50="Yes",(AV50+AY50)*VLOOKUP("IN-34",'Assumptions &amp; Inputs'!$A$31:$F$69,5,FALSE),0)</f>
        <v>28739.25</v>
      </c>
      <c r="BH50" s="28">
        <f t="shared" si="27"/>
        <v>31087.799999999996</v>
      </c>
      <c r="BI50" s="28">
        <f t="shared" si="28"/>
        <v>77591.25</v>
      </c>
      <c r="BJ50" s="29">
        <f t="shared" si="29"/>
        <v>268812.75</v>
      </c>
      <c r="BK50" s="58" t="s">
        <v>548</v>
      </c>
      <c r="BL50" s="58" t="s">
        <v>549</v>
      </c>
      <c r="BM50" s="58" t="s">
        <v>602</v>
      </c>
      <c r="BN50" s="58" t="s">
        <v>550</v>
      </c>
      <c r="BO50" s="5">
        <f t="shared" si="30"/>
        <v>0</v>
      </c>
      <c r="BP50" s="5">
        <f t="shared" si="31"/>
        <v>0</v>
      </c>
      <c r="BQ50" s="5">
        <f t="shared" si="32"/>
        <v>1</v>
      </c>
      <c r="BR50" s="5">
        <f t="shared" si="33"/>
        <v>1</v>
      </c>
      <c r="BS50" s="5">
        <f t="shared" si="34"/>
        <v>1</v>
      </c>
      <c r="BT50" s="5">
        <f t="shared" si="35"/>
        <v>1</v>
      </c>
      <c r="BU50" s="4">
        <f>IF(BO50=1,((AI50+(IF(R50="IN-07",'Assumptions &amp; Inputs'!$C$66,AF50))*AL50)*AS50)+AW50+(((AI50+(IF(R50="IN-07",'Assumptions &amp; Inputs'!$C$66,AF50))*AL50)*AS50)*AZ50)+IF(BD50="Yes",(((AI50+(IF(R50="IN-07",'Assumptions &amp; Inputs'!$C$66,AF50))*AL50)*AS50)+AW50)*VLOOKUP("IN-34",'Assumptions &amp; Inputs'!$A$31:$F$69,3,FALSE),0),0)</f>
        <v>0</v>
      </c>
      <c r="BV50" s="4">
        <f>IF(BO50=1,((AJ50+(IF(R50="IN-07",'Assumptions &amp; Inputs'!$D$66,AG50))*AM50)*AS50)+AX50+(((AJ50+(IF(R50="IN-07",'Assumptions &amp; Inputs'!$D$66,AG50))*AM50)*AS50)*AZ50)+IF(BD50="Yes",(((AJ50+(IF(R50="IN-07",'Assumptions &amp; Inputs'!$D$66,AG50))*AM50)*AS50)+AX50)*VLOOKUP("IN-34",'Assumptions &amp; Inputs'!$A$31:$F$69,4,FALSE),0),0)</f>
        <v>0</v>
      </c>
      <c r="BW50" s="4">
        <f>IF(BO50=1,((AK50+(IF(R50="IN-07",'Assumptions &amp; Inputs'!$E$66,AH50))*AN50)*AS50)+AY50+(((AK50+(IF(R50="IN-07",'Assumptions &amp; Inputs'!$E$66,AH50))*AN50)*AS50)*AZ50)+IF(BD50="Yes",(((AK50+(IF(R50="IN-07",'Assumptions &amp; Inputs'!$E$66,AH50))*AN50)*AS50)+AY50)*VLOOKUP("IN-34",'Assumptions &amp; Inputs'!$A$31:$F$69,5,FALSE),0),0)</f>
        <v>0</v>
      </c>
      <c r="BX50" s="4">
        <f>IF(BP50=1,((AI50+(IF(R50="IN-07",'Assumptions &amp; Inputs'!$C$66,AF50))*AL50)*AS50)+AW50+(((AI50+(IF(R50="IN-07",'Assumptions &amp; Inputs'!$C$66,AF50))*AL50)*AS50)*AZ50)+IF(BD50="Yes",(((AI50+(IF(R50="IN-07",'Assumptions &amp; Inputs'!$C$66,AF50))*AL50)*AS50)+AW50)*VLOOKUP("IN-34",'Assumptions &amp; Inputs'!$A$31:$F$69,3,FALSE),0),0)</f>
        <v>0</v>
      </c>
      <c r="BY50" s="4">
        <f>IF(BP50=1,((AJ50+(IF(R50="IN-07",'Assumptions &amp; Inputs'!$D$66,AG50))*AM50)*AS50)+AX50+(((AJ50+(IF(R50="IN-07",'Assumptions &amp; Inputs'!$D$66,AG50))*AM50)*AS50)*AZ50)+IF(BD50="Yes",(((AJ50+(IF(R50="IN-07",'Assumptions &amp; Inputs'!$D$66,AG50))*AM50)*AS50)+AX50)*VLOOKUP("IN-34",'Assumptions &amp; Inputs'!$A$31:$F$69,4,FALSE),0),0)</f>
        <v>0</v>
      </c>
      <c r="BZ50" s="4">
        <f>IF(BP50=1,((AK50+(IF(R50="IN-07",'Assumptions &amp; Inputs'!$E$66,AH50))*AN50)*AS50)+AY50+(((AK50+(IF(R50="IN-07",'Assumptions &amp; Inputs'!$E$66,AH50))*AN50)*AS50)*AZ50)+IF(BD50="Yes",(((AK50+(IF(R50="IN-07",'Assumptions &amp; Inputs'!$E$66,AH50))*AN50)*AS50)+AY50)*VLOOKUP("IN-34",'Assumptions &amp; Inputs'!$A$31:$F$69,5,FALSE),0),0)</f>
        <v>0</v>
      </c>
      <c r="CA50" s="4">
        <f>IF(BQ50=1,((AI50+(IF(R50="IN-07",'Assumptions &amp; Inputs'!$C$65,AF50))*AL50)*AS50)+AW50+(((AI50+(IF(R50="IN-07",'Assumptions &amp; Inputs'!$C$65,AF50))*AL50)*AS50)*AZ50)+IF(BD50="Yes",(((AI50+(IF(R50="IN-07",'Assumptions &amp; Inputs'!$C$65,AF50))*AL50)*AS50)+AW50)*VLOOKUP("IN-34",'Assumptions &amp; Inputs'!$A$31:$F$69,3,FALSE),0),0)</f>
        <v>31087.799999999996</v>
      </c>
      <c r="CB50" s="4">
        <f>IF(BQ50=1,((AJ50+(IF(R50="IN-07",'Assumptions &amp; Inputs'!$D$65,AG50))*AM50)*AS50)+AX50+(((AJ50+(IF(R50="IN-07",'Assumptions &amp; Inputs'!$D$65,AG50))*AM50)*AS50)*AZ50)+IF(BD50="Yes",(((AJ50+(IF(R50="IN-07",'Assumptions &amp; Inputs'!$D$65,AG50))*AM50)*AS50)+AX50)*VLOOKUP("IN-34",'Assumptions &amp; Inputs'!$A$31:$F$69,4,FALSE),0),0)</f>
        <v>77591.25</v>
      </c>
      <c r="CC50" s="4">
        <f>IF(BQ50=1,((AK50+(IF(R50="IN-07",'Assumptions &amp; Inputs'!$E$65,AH50))*AN50)*AS50)+AY50+(((AK50+(IF(R50="IN-07",'Assumptions &amp; Inputs'!$E$65,AH50))*AN50)*AS50)*AZ50)+IF(BD50="Yes",(((AK50+(IF(R50="IN-07",'Assumptions &amp; Inputs'!$E$65,AH50))*AN50)*AS50)+AY50)*VLOOKUP("IN-34",'Assumptions &amp; Inputs'!$A$31:$F$69,5,FALSE),0),0)</f>
        <v>268812.75</v>
      </c>
      <c r="CD50" s="4">
        <f>IF(BR50=1,((AI50+(IF(R50="IN-07",'Assumptions &amp; Inputs'!$C$65,AF50))*AL50)*AS50)+AW50+(((AI50+(IF(R50="IN-07",'Assumptions &amp; Inputs'!$C$65,AF50))*AL50)*AS50)*AZ50)+IF(BD50="Yes",(((AI50+(IF(R50="IN-07",'Assumptions &amp; Inputs'!$C$65,AF50))*AL50)*AS50)+AW50)*VLOOKUP("IN-34",'Assumptions &amp; Inputs'!$A$31:$F$69,3,FALSE),0),0)</f>
        <v>31087.799999999996</v>
      </c>
      <c r="CE50" s="4">
        <f>IF(BR50=1,((AJ50+(IF(R50="IN-07",'Assumptions &amp; Inputs'!$D$65,AG50))*AM50)*AS50)+AX50+(((AJ50+(IF(R50="IN-07",'Assumptions &amp; Inputs'!$D$65,AG50))*AM50)*AS50)*AZ50)+IF(BD50="Yes",(((AJ50+(IF(R50="IN-07",'Assumptions &amp; Inputs'!$D$65,AG50))*AM50)*AS50)+AX50)*VLOOKUP("IN-34",'Assumptions &amp; Inputs'!$A$31:$F$69,4,FALSE),0),0)</f>
        <v>77591.25</v>
      </c>
      <c r="CF50" s="4">
        <f>IF(BR50=1,((AK50+(IF(R50="IN-07",'Assumptions &amp; Inputs'!$E$65,AH50))*AN50)*AS50)+AY50+(((AK50+(IF(R50="IN-07",'Assumptions &amp; Inputs'!$E$65,AH50))*AN50)*AS50)*AZ50)+IF(BD50="Yes",(((AK50+(IF(R50="IN-07",'Assumptions &amp; Inputs'!$E$65,AH50))*AN50)*AS50)+AY50)*VLOOKUP("IN-34",'Assumptions &amp; Inputs'!$A$31:$F$69,5,FALSE),0),0)</f>
        <v>268812.75</v>
      </c>
      <c r="CG50" s="4">
        <f>IF(BS50=1,((AI50+(IF(R50="IN-07",0,AF50))*AL50)*AS50)+AW50+(((AI50+(IF(R50="IN-07",0,AF50))*AL50)*AS50)*AZ50)+IF(BD50="Yes",(((AI50+(IF(R50="IN-07",0,AF50))*AL50)*AS50)+AW50)*VLOOKUP("IN-34",'Assumptions &amp; Inputs'!$A$31:$F$69,3,FALSE),0),0)</f>
        <v>31087.799999999996</v>
      </c>
      <c r="CH50" s="4">
        <f>IF(BS50=1,((AJ50+(IF(R50="IN-07",0,AG50))*AM50)*AS50)+AX50+(((AJ50+(IF(R50="IN-07",0,AG50))*AM50)*AS50)*AZ50)+IF(BD50="Yes",(((AJ50+(IF(R50="IN-07",0,AG50))*AM50)*AS50)+AX50)*VLOOKUP("IN-34",'Assumptions &amp; Inputs'!$A$31:$F$69,4,FALSE),0),0)</f>
        <v>77591.25</v>
      </c>
      <c r="CI50" s="4">
        <f>IF(BS50=1,((AK50+(IF(R50="IN-07",0,AH50))*AN50)*AS50)+AY50+(((AK50+(IF(R50="IN-07",0,AH50))*AN50)*AS50)*AZ50)+IF(BD50="Yes",(((AK50+(IF(R50="IN-07",0,AH50))*AN50)*AS50)+AY50)*VLOOKUP("IN-34",'Assumptions &amp; Inputs'!$A$31:$F$69,5,FALSE),0),0)</f>
        <v>268812.75</v>
      </c>
      <c r="CJ50" s="4">
        <f>IF(BT50=1,((AI50+(IF(R50="IN-07",0,AF50))*AL50)*AS50)+AW50+(((AI50+(IF(R50="IN-07",0,AF50))*AL50)*AS50)*AZ50)+IF(BD50="Yes",(((AI50+(IF(R50="IN-07",0,AF50))*AL50)*AS50)+AW50)*VLOOKUP("IN-34",'Assumptions &amp; Inputs'!$A$31:$F$69,3,FALSE),0),0)</f>
        <v>31087.799999999996</v>
      </c>
      <c r="CK50" s="4">
        <f>IF(BT50=1,((AJ50+(IF(R50="IN-07",0,AG50))*AM50)*AS50)+AX50+(((AJ50+(IF(R50="IN-07",0,AG50))*AM50)*AS50)*AZ50)+IF(BD50="Yes",(((AJ50+(IF(R50="IN-07",0,AG50))*AM50)*AS50)+AX50)*VLOOKUP("IN-34",'Assumptions &amp; Inputs'!$A$31:$F$69,4,FALSE),0),0)</f>
        <v>77591.25</v>
      </c>
      <c r="CL50" s="4">
        <f>IF(BT50=1,((AK50+(IF(R50="IN-07",0,AH50))*AN50)*AS50)+AY50+(((AK50+(IF(R50="IN-07",0,AH50))*AN50)*AS50)*AZ50)+IF(BD50="Yes",(((AK50+(IF(R50="IN-07",0,AH50))*AN50)*AS50)+AY50)*VLOOKUP("IN-34",'Assumptions &amp; Inputs'!$A$31:$F$69,5,FALSE),0),0)</f>
        <v>268812.75</v>
      </c>
    </row>
    <row r="51" spans="1:90" ht="43.5" x14ac:dyDescent="0.35">
      <c r="A51" s="51" t="s">
        <v>1129</v>
      </c>
      <c r="B51" s="51" t="s">
        <v>191</v>
      </c>
      <c r="C51" s="51" t="s">
        <v>49</v>
      </c>
      <c r="D51" s="51" t="s">
        <v>53</v>
      </c>
      <c r="E51" s="51" t="s">
        <v>1130</v>
      </c>
      <c r="F51" s="51" t="s">
        <v>1131</v>
      </c>
      <c r="G51" s="51" t="s">
        <v>1132</v>
      </c>
      <c r="H51" s="51" t="s">
        <v>1133</v>
      </c>
      <c r="I51" s="51" t="s">
        <v>49</v>
      </c>
      <c r="J51" s="51" t="s">
        <v>1134</v>
      </c>
      <c r="K51" s="51" t="s">
        <v>1135</v>
      </c>
      <c r="L51" s="51" t="s">
        <v>49</v>
      </c>
      <c r="M51" s="51" t="s">
        <v>532</v>
      </c>
      <c r="N51" s="51" t="s">
        <v>160</v>
      </c>
      <c r="O51" s="51" t="s">
        <v>813</v>
      </c>
      <c r="P51" s="51" t="s">
        <v>627</v>
      </c>
      <c r="Q51" s="51" t="s">
        <v>1136</v>
      </c>
      <c r="R51" s="51" t="s">
        <v>308</v>
      </c>
      <c r="S51" s="51" t="s">
        <v>863</v>
      </c>
      <c r="T51" s="51" t="s">
        <v>629</v>
      </c>
      <c r="U51" s="51" t="s">
        <v>1137</v>
      </c>
      <c r="V51" s="51" t="s">
        <v>1112</v>
      </c>
      <c r="W51" s="51" t="s">
        <v>1138</v>
      </c>
      <c r="X51" s="51" t="s">
        <v>1139</v>
      </c>
      <c r="Y51" s="51" t="s">
        <v>1140</v>
      </c>
      <c r="Z51" s="51" t="s">
        <v>543</v>
      </c>
      <c r="AA51" s="51" t="s">
        <v>634</v>
      </c>
      <c r="AB51" s="51" t="s">
        <v>545</v>
      </c>
      <c r="AC51" s="51" t="s">
        <v>1141</v>
      </c>
      <c r="AD51" s="51" t="s">
        <v>636</v>
      </c>
      <c r="AE51" s="20">
        <f>IF(ISNUMBER(SEARCH('Scenario Definitions'!$C$5,N51)),1,0)</f>
        <v>1</v>
      </c>
      <c r="AF51" s="20">
        <f>IFERROR(VLOOKUP(R51,'Assumptions &amp; Inputs'!$A$31:$F$69,3,FALSE),0)</f>
        <v>1</v>
      </c>
      <c r="AG51" s="20">
        <f>IFERROR(VLOOKUP(R51,'Assumptions &amp; Inputs'!$A$31:$F$69,4,FALSE),0)</f>
        <v>2</v>
      </c>
      <c r="AH51" s="21">
        <f>IFERROR(VLOOKUP(R51,'Assumptions &amp; Inputs'!$A$31:$F$69,5,FALSE),0)</f>
        <v>4</v>
      </c>
      <c r="AI51" s="11">
        <v>0</v>
      </c>
      <c r="AJ51" s="11">
        <v>0</v>
      </c>
      <c r="AK51" s="11">
        <v>0</v>
      </c>
      <c r="AL51" s="11">
        <v>18</v>
      </c>
      <c r="AM51" s="11">
        <v>24</v>
      </c>
      <c r="AN51" s="11">
        <v>36</v>
      </c>
      <c r="AO51" s="38">
        <f t="shared" si="18"/>
        <v>18</v>
      </c>
      <c r="AP51" s="20">
        <f t="shared" si="19"/>
        <v>48</v>
      </c>
      <c r="AQ51" s="21">
        <f t="shared" si="20"/>
        <v>144</v>
      </c>
      <c r="AR51" s="58" t="s">
        <v>427</v>
      </c>
      <c r="AS51" s="34">
        <f>IFERROR(VLOOKUP(AR51,'Assumptions &amp; Inputs'!$A$73:$I$100,9,FALSE),0)</f>
        <v>190</v>
      </c>
      <c r="AT51" s="28">
        <f t="shared" si="21"/>
        <v>3420</v>
      </c>
      <c r="AU51" s="28">
        <f t="shared" si="22"/>
        <v>9120</v>
      </c>
      <c r="AV51" s="29">
        <f t="shared" si="23"/>
        <v>27360</v>
      </c>
      <c r="AW51" s="57">
        <v>0</v>
      </c>
      <c r="AX51" s="57">
        <v>5000</v>
      </c>
      <c r="AY51" s="57">
        <v>25000</v>
      </c>
      <c r="AZ51" s="34">
        <f>IFERROR(VLOOKUP(C51,'Assumptions &amp; Inputs'!$A$104:$B$107,2,FALSE),0)</f>
        <v>0.3</v>
      </c>
      <c r="BA51" s="28">
        <f t="shared" si="24"/>
        <v>1026</v>
      </c>
      <c r="BB51" s="28">
        <f t="shared" si="25"/>
        <v>2736</v>
      </c>
      <c r="BC51" s="29">
        <f t="shared" si="26"/>
        <v>8208</v>
      </c>
      <c r="BD51" s="57" t="s">
        <v>209</v>
      </c>
      <c r="BE51" s="34">
        <f>IF(BD51="Yes",(AT51+AW51)*VLOOKUP("IN-34",'Assumptions &amp; Inputs'!$A$31:$F$69,3,FALSE),0)</f>
        <v>171</v>
      </c>
      <c r="BF51" s="28">
        <f>IF(BD51="Yes",(AU51+AX51)*VLOOKUP("IN-34",'Assumptions &amp; Inputs'!$A$31:$F$69,4,FALSE),0)</f>
        <v>1059</v>
      </c>
      <c r="BG51" s="28">
        <f>IF(BD51="Yes",(AV51+AY51)*VLOOKUP("IN-34",'Assumptions &amp; Inputs'!$A$31:$F$69,5,FALSE),0)</f>
        <v>7854</v>
      </c>
      <c r="BH51" s="28">
        <f t="shared" si="27"/>
        <v>4617</v>
      </c>
      <c r="BI51" s="28">
        <f t="shared" si="28"/>
        <v>17915</v>
      </c>
      <c r="BJ51" s="29">
        <f t="shared" si="29"/>
        <v>68422</v>
      </c>
      <c r="BK51" s="58" t="s">
        <v>548</v>
      </c>
      <c r="BL51" s="58" t="s">
        <v>549</v>
      </c>
      <c r="BM51" s="58" t="s">
        <v>634</v>
      </c>
      <c r="BN51" s="58" t="s">
        <v>550</v>
      </c>
      <c r="BO51" s="5">
        <f t="shared" si="30"/>
        <v>0</v>
      </c>
      <c r="BP51" s="5">
        <f t="shared" si="31"/>
        <v>0</v>
      </c>
      <c r="BQ51" s="5">
        <f t="shared" si="32"/>
        <v>1</v>
      </c>
      <c r="BR51" s="5">
        <f t="shared" si="33"/>
        <v>1</v>
      </c>
      <c r="BS51" s="5">
        <f t="shared" si="34"/>
        <v>1</v>
      </c>
      <c r="BT51" s="5">
        <f t="shared" si="35"/>
        <v>1</v>
      </c>
      <c r="BU51" s="4">
        <f>IF(BO51=1,((AI51+(IF(R51="IN-07",'Assumptions &amp; Inputs'!$C$66,AF51))*AL51)*AS51)+AW51+(((AI51+(IF(R51="IN-07",'Assumptions &amp; Inputs'!$C$66,AF51))*AL51)*AS51)*AZ51)+IF(BD51="Yes",(((AI51+(IF(R51="IN-07",'Assumptions &amp; Inputs'!$C$66,AF51))*AL51)*AS51)+AW51)*VLOOKUP("IN-34",'Assumptions &amp; Inputs'!$A$31:$F$69,3,FALSE),0),0)</f>
        <v>0</v>
      </c>
      <c r="BV51" s="4">
        <f>IF(BO51=1,((AJ51+(IF(R51="IN-07",'Assumptions &amp; Inputs'!$D$66,AG51))*AM51)*AS51)+AX51+(((AJ51+(IF(R51="IN-07",'Assumptions &amp; Inputs'!$D$66,AG51))*AM51)*AS51)*AZ51)+IF(BD51="Yes",(((AJ51+(IF(R51="IN-07",'Assumptions &amp; Inputs'!$D$66,AG51))*AM51)*AS51)+AX51)*VLOOKUP("IN-34",'Assumptions &amp; Inputs'!$A$31:$F$69,4,FALSE),0),0)</f>
        <v>0</v>
      </c>
      <c r="BW51" s="4">
        <f>IF(BO51=1,((AK51+(IF(R51="IN-07",'Assumptions &amp; Inputs'!$E$66,AH51))*AN51)*AS51)+AY51+(((AK51+(IF(R51="IN-07",'Assumptions &amp; Inputs'!$E$66,AH51))*AN51)*AS51)*AZ51)+IF(BD51="Yes",(((AK51+(IF(R51="IN-07",'Assumptions &amp; Inputs'!$E$66,AH51))*AN51)*AS51)+AY51)*VLOOKUP("IN-34",'Assumptions &amp; Inputs'!$A$31:$F$69,5,FALSE),0),0)</f>
        <v>0</v>
      </c>
      <c r="BX51" s="4">
        <f>IF(BP51=1,((AI51+(IF(R51="IN-07",'Assumptions &amp; Inputs'!$C$66,AF51))*AL51)*AS51)+AW51+(((AI51+(IF(R51="IN-07",'Assumptions &amp; Inputs'!$C$66,AF51))*AL51)*AS51)*AZ51)+IF(BD51="Yes",(((AI51+(IF(R51="IN-07",'Assumptions &amp; Inputs'!$C$66,AF51))*AL51)*AS51)+AW51)*VLOOKUP("IN-34",'Assumptions &amp; Inputs'!$A$31:$F$69,3,FALSE),0),0)</f>
        <v>0</v>
      </c>
      <c r="BY51" s="4">
        <f>IF(BP51=1,((AJ51+(IF(R51="IN-07",'Assumptions &amp; Inputs'!$D$66,AG51))*AM51)*AS51)+AX51+(((AJ51+(IF(R51="IN-07",'Assumptions &amp; Inputs'!$D$66,AG51))*AM51)*AS51)*AZ51)+IF(BD51="Yes",(((AJ51+(IF(R51="IN-07",'Assumptions &amp; Inputs'!$D$66,AG51))*AM51)*AS51)+AX51)*VLOOKUP("IN-34",'Assumptions &amp; Inputs'!$A$31:$F$69,4,FALSE),0),0)</f>
        <v>0</v>
      </c>
      <c r="BZ51" s="4">
        <f>IF(BP51=1,((AK51+(IF(R51="IN-07",'Assumptions &amp; Inputs'!$E$66,AH51))*AN51)*AS51)+AY51+(((AK51+(IF(R51="IN-07",'Assumptions &amp; Inputs'!$E$66,AH51))*AN51)*AS51)*AZ51)+IF(BD51="Yes",(((AK51+(IF(R51="IN-07",'Assumptions &amp; Inputs'!$E$66,AH51))*AN51)*AS51)+AY51)*VLOOKUP("IN-34",'Assumptions &amp; Inputs'!$A$31:$F$69,5,FALSE),0),0)</f>
        <v>0</v>
      </c>
      <c r="CA51" s="4">
        <f>IF(BQ51=1,((AI51+(IF(R51="IN-07",'Assumptions &amp; Inputs'!$C$65,AF51))*AL51)*AS51)+AW51+(((AI51+(IF(R51="IN-07",'Assumptions &amp; Inputs'!$C$65,AF51))*AL51)*AS51)*AZ51)+IF(BD51="Yes",(((AI51+(IF(R51="IN-07",'Assumptions &amp; Inputs'!$C$65,AF51))*AL51)*AS51)+AW51)*VLOOKUP("IN-34",'Assumptions &amp; Inputs'!$A$31:$F$69,3,FALSE),0),0)</f>
        <v>4617</v>
      </c>
      <c r="CB51" s="4">
        <f>IF(BQ51=1,((AJ51+(IF(R51="IN-07",'Assumptions &amp; Inputs'!$D$65,AG51))*AM51)*AS51)+AX51+(((AJ51+(IF(R51="IN-07",'Assumptions &amp; Inputs'!$D$65,AG51))*AM51)*AS51)*AZ51)+IF(BD51="Yes",(((AJ51+(IF(R51="IN-07",'Assumptions &amp; Inputs'!$D$65,AG51))*AM51)*AS51)+AX51)*VLOOKUP("IN-34",'Assumptions &amp; Inputs'!$A$31:$F$69,4,FALSE),0),0)</f>
        <v>17915</v>
      </c>
      <c r="CC51" s="4">
        <f>IF(BQ51=1,((AK51+(IF(R51="IN-07",'Assumptions &amp; Inputs'!$E$65,AH51))*AN51)*AS51)+AY51+(((AK51+(IF(R51="IN-07",'Assumptions &amp; Inputs'!$E$65,AH51))*AN51)*AS51)*AZ51)+IF(BD51="Yes",(((AK51+(IF(R51="IN-07",'Assumptions &amp; Inputs'!$E$65,AH51))*AN51)*AS51)+AY51)*VLOOKUP("IN-34",'Assumptions &amp; Inputs'!$A$31:$F$69,5,FALSE),0),0)</f>
        <v>68422</v>
      </c>
      <c r="CD51" s="4">
        <f>IF(BR51=1,((AI51+(IF(R51="IN-07",'Assumptions &amp; Inputs'!$C$65,AF51))*AL51)*AS51)+AW51+(((AI51+(IF(R51="IN-07",'Assumptions &amp; Inputs'!$C$65,AF51))*AL51)*AS51)*AZ51)+IF(BD51="Yes",(((AI51+(IF(R51="IN-07",'Assumptions &amp; Inputs'!$C$65,AF51))*AL51)*AS51)+AW51)*VLOOKUP("IN-34",'Assumptions &amp; Inputs'!$A$31:$F$69,3,FALSE),0),0)</f>
        <v>4617</v>
      </c>
      <c r="CE51" s="4">
        <f>IF(BR51=1,((AJ51+(IF(R51="IN-07",'Assumptions &amp; Inputs'!$D$65,AG51))*AM51)*AS51)+AX51+(((AJ51+(IF(R51="IN-07",'Assumptions &amp; Inputs'!$D$65,AG51))*AM51)*AS51)*AZ51)+IF(BD51="Yes",(((AJ51+(IF(R51="IN-07",'Assumptions &amp; Inputs'!$D$65,AG51))*AM51)*AS51)+AX51)*VLOOKUP("IN-34",'Assumptions &amp; Inputs'!$A$31:$F$69,4,FALSE),0),0)</f>
        <v>17915</v>
      </c>
      <c r="CF51" s="4">
        <f>IF(BR51=1,((AK51+(IF(R51="IN-07",'Assumptions &amp; Inputs'!$E$65,AH51))*AN51)*AS51)+AY51+(((AK51+(IF(R51="IN-07",'Assumptions &amp; Inputs'!$E$65,AH51))*AN51)*AS51)*AZ51)+IF(BD51="Yes",(((AK51+(IF(R51="IN-07",'Assumptions &amp; Inputs'!$E$65,AH51))*AN51)*AS51)+AY51)*VLOOKUP("IN-34",'Assumptions &amp; Inputs'!$A$31:$F$69,5,FALSE),0),0)</f>
        <v>68422</v>
      </c>
      <c r="CG51" s="4">
        <f>IF(BS51=1,((AI51+(IF(R51="IN-07",0,AF51))*AL51)*AS51)+AW51+(((AI51+(IF(R51="IN-07",0,AF51))*AL51)*AS51)*AZ51)+IF(BD51="Yes",(((AI51+(IF(R51="IN-07",0,AF51))*AL51)*AS51)+AW51)*VLOOKUP("IN-34",'Assumptions &amp; Inputs'!$A$31:$F$69,3,FALSE),0),0)</f>
        <v>4617</v>
      </c>
      <c r="CH51" s="4">
        <f>IF(BS51=1,((AJ51+(IF(R51="IN-07",0,AG51))*AM51)*AS51)+AX51+(((AJ51+(IF(R51="IN-07",0,AG51))*AM51)*AS51)*AZ51)+IF(BD51="Yes",(((AJ51+(IF(R51="IN-07",0,AG51))*AM51)*AS51)+AX51)*VLOOKUP("IN-34",'Assumptions &amp; Inputs'!$A$31:$F$69,4,FALSE),0),0)</f>
        <v>17915</v>
      </c>
      <c r="CI51" s="4">
        <f>IF(BS51=1,((AK51+(IF(R51="IN-07",0,AH51))*AN51)*AS51)+AY51+(((AK51+(IF(R51="IN-07",0,AH51))*AN51)*AS51)*AZ51)+IF(BD51="Yes",(((AK51+(IF(R51="IN-07",0,AH51))*AN51)*AS51)+AY51)*VLOOKUP("IN-34",'Assumptions &amp; Inputs'!$A$31:$F$69,5,FALSE),0),0)</f>
        <v>68422</v>
      </c>
      <c r="CJ51" s="4">
        <f>IF(BT51=1,((AI51+(IF(R51="IN-07",0,AF51))*AL51)*AS51)+AW51+(((AI51+(IF(R51="IN-07",0,AF51))*AL51)*AS51)*AZ51)+IF(BD51="Yes",(((AI51+(IF(R51="IN-07",0,AF51))*AL51)*AS51)+AW51)*VLOOKUP("IN-34",'Assumptions &amp; Inputs'!$A$31:$F$69,3,FALSE),0),0)</f>
        <v>4617</v>
      </c>
      <c r="CK51" s="4">
        <f>IF(BT51=1,((AJ51+(IF(R51="IN-07",0,AG51))*AM51)*AS51)+AX51+(((AJ51+(IF(R51="IN-07",0,AG51))*AM51)*AS51)*AZ51)+IF(BD51="Yes",(((AJ51+(IF(R51="IN-07",0,AG51))*AM51)*AS51)+AX51)*VLOOKUP("IN-34",'Assumptions &amp; Inputs'!$A$31:$F$69,4,FALSE),0),0)</f>
        <v>17915</v>
      </c>
      <c r="CL51" s="4">
        <f>IF(BT51=1,((AK51+(IF(R51="IN-07",0,AH51))*AN51)*AS51)+AY51+(((AK51+(IF(R51="IN-07",0,AH51))*AN51)*AS51)*AZ51)+IF(BD51="Yes",(((AK51+(IF(R51="IN-07",0,AH51))*AN51)*AS51)+AY51)*VLOOKUP("IN-34",'Assumptions &amp; Inputs'!$A$31:$F$69,5,FALSE),0),0)</f>
        <v>68422</v>
      </c>
    </row>
    <row r="52" spans="1:90" ht="43.5" x14ac:dyDescent="0.35">
      <c r="A52" s="51" t="s">
        <v>1142</v>
      </c>
      <c r="B52" s="51" t="s">
        <v>192</v>
      </c>
      <c r="C52" s="51" t="s">
        <v>49</v>
      </c>
      <c r="D52" s="51" t="s">
        <v>54</v>
      </c>
      <c r="E52" s="51" t="s">
        <v>1143</v>
      </c>
      <c r="F52" s="51" t="s">
        <v>1144</v>
      </c>
      <c r="G52" s="51" t="s">
        <v>1145</v>
      </c>
      <c r="H52" s="51" t="s">
        <v>1146</v>
      </c>
      <c r="I52" s="51" t="s">
        <v>49</v>
      </c>
      <c r="J52" s="51" t="s">
        <v>1147</v>
      </c>
      <c r="K52" s="51" t="s">
        <v>1135</v>
      </c>
      <c r="L52" s="51" t="s">
        <v>49</v>
      </c>
      <c r="M52" s="51" t="s">
        <v>532</v>
      </c>
      <c r="N52" s="51" t="s">
        <v>160</v>
      </c>
      <c r="O52" s="51" t="s">
        <v>813</v>
      </c>
      <c r="P52" s="51" t="s">
        <v>593</v>
      </c>
      <c r="Q52" s="51" t="s">
        <v>1148</v>
      </c>
      <c r="R52" s="51" t="s">
        <v>308</v>
      </c>
      <c r="S52" s="51" t="s">
        <v>863</v>
      </c>
      <c r="T52" s="51" t="s">
        <v>1149</v>
      </c>
      <c r="U52" s="51" t="s">
        <v>1150</v>
      </c>
      <c r="V52" s="51" t="s">
        <v>1126</v>
      </c>
      <c r="W52" s="51" t="s">
        <v>1151</v>
      </c>
      <c r="X52" s="51" t="s">
        <v>642</v>
      </c>
      <c r="Y52" s="51" t="s">
        <v>171</v>
      </c>
      <c r="Z52" s="51" t="s">
        <v>543</v>
      </c>
      <c r="AA52" s="51" t="s">
        <v>1115</v>
      </c>
      <c r="AB52" s="51" t="s">
        <v>36</v>
      </c>
      <c r="AC52" s="51" t="s">
        <v>1152</v>
      </c>
      <c r="AD52" s="51" t="s">
        <v>919</v>
      </c>
      <c r="AE52" s="20">
        <f>IF(ISNUMBER(SEARCH('Scenario Definitions'!$C$5,N52)),1,0)</f>
        <v>1</v>
      </c>
      <c r="AF52" s="20">
        <f>IFERROR(VLOOKUP(R52,'Assumptions &amp; Inputs'!$A$31:$F$69,3,FALSE),0)</f>
        <v>1</v>
      </c>
      <c r="AG52" s="20">
        <f>IFERROR(VLOOKUP(R52,'Assumptions &amp; Inputs'!$A$31:$F$69,4,FALSE),0)</f>
        <v>2</v>
      </c>
      <c r="AH52" s="21">
        <f>IFERROR(VLOOKUP(R52,'Assumptions &amp; Inputs'!$A$31:$F$69,5,FALSE),0)</f>
        <v>4</v>
      </c>
      <c r="AI52" s="11">
        <v>0</v>
      </c>
      <c r="AJ52" s="11">
        <v>0</v>
      </c>
      <c r="AK52" s="11">
        <v>0</v>
      </c>
      <c r="AL52" s="11">
        <v>24.3</v>
      </c>
      <c r="AM52" s="11">
        <v>32.4</v>
      </c>
      <c r="AN52" s="11">
        <v>48.6</v>
      </c>
      <c r="AO52" s="38">
        <f t="shared" si="18"/>
        <v>24.3</v>
      </c>
      <c r="AP52" s="20">
        <f t="shared" si="19"/>
        <v>64.8</v>
      </c>
      <c r="AQ52" s="21">
        <f t="shared" si="20"/>
        <v>194.4</v>
      </c>
      <c r="AR52" s="58" t="s">
        <v>424</v>
      </c>
      <c r="AS52" s="34">
        <f>IFERROR(VLOOKUP(AR52,'Assumptions &amp; Inputs'!$A$73:$I$100,9,FALSE),0)</f>
        <v>135</v>
      </c>
      <c r="AT52" s="28">
        <f t="shared" si="21"/>
        <v>3280.5</v>
      </c>
      <c r="AU52" s="28">
        <f t="shared" si="22"/>
        <v>8748</v>
      </c>
      <c r="AV52" s="29">
        <f t="shared" si="23"/>
        <v>26244</v>
      </c>
      <c r="AW52" s="57">
        <v>0</v>
      </c>
      <c r="AX52" s="57">
        <v>0</v>
      </c>
      <c r="AY52" s="57">
        <v>0</v>
      </c>
      <c r="AZ52" s="34">
        <f>IFERROR(VLOOKUP(C52,'Assumptions &amp; Inputs'!$A$104:$B$107,2,FALSE),0)</f>
        <v>0.3</v>
      </c>
      <c r="BA52" s="28">
        <f t="shared" si="24"/>
        <v>984.15</v>
      </c>
      <c r="BB52" s="28">
        <f t="shared" si="25"/>
        <v>2624.4</v>
      </c>
      <c r="BC52" s="29">
        <f t="shared" si="26"/>
        <v>7873.2</v>
      </c>
      <c r="BD52" s="57" t="s">
        <v>209</v>
      </c>
      <c r="BE52" s="34">
        <f>IF(BD52="Yes",(AT52+AW52)*VLOOKUP("IN-34",'Assumptions &amp; Inputs'!$A$31:$F$69,3,FALSE),0)</f>
        <v>164.02500000000001</v>
      </c>
      <c r="BF52" s="28">
        <f>IF(BD52="Yes",(AU52+AX52)*VLOOKUP("IN-34",'Assumptions &amp; Inputs'!$A$31:$F$69,4,FALSE),0)</f>
        <v>656.1</v>
      </c>
      <c r="BG52" s="28">
        <f>IF(BD52="Yes",(AV52+AY52)*VLOOKUP("IN-34",'Assumptions &amp; Inputs'!$A$31:$F$69,5,FALSE),0)</f>
        <v>3936.6</v>
      </c>
      <c r="BH52" s="28">
        <f t="shared" si="27"/>
        <v>4428.6749999999993</v>
      </c>
      <c r="BI52" s="28">
        <f t="shared" si="28"/>
        <v>12028.5</v>
      </c>
      <c r="BJ52" s="29">
        <f t="shared" si="29"/>
        <v>38053.799999999996</v>
      </c>
      <c r="BK52" s="58" t="s">
        <v>548</v>
      </c>
      <c r="BL52" s="58" t="s">
        <v>549</v>
      </c>
      <c r="BM52" s="58" t="s">
        <v>1115</v>
      </c>
      <c r="BN52" s="58" t="s">
        <v>550</v>
      </c>
      <c r="BO52" s="5">
        <f t="shared" si="30"/>
        <v>0</v>
      </c>
      <c r="BP52" s="5">
        <f t="shared" si="31"/>
        <v>0</v>
      </c>
      <c r="BQ52" s="5">
        <f t="shared" si="32"/>
        <v>1</v>
      </c>
      <c r="BR52" s="5">
        <f t="shared" si="33"/>
        <v>1</v>
      </c>
      <c r="BS52" s="5">
        <f t="shared" si="34"/>
        <v>1</v>
      </c>
      <c r="BT52" s="5">
        <f t="shared" si="35"/>
        <v>1</v>
      </c>
      <c r="BU52" s="4">
        <f>IF(BO52=1,((AI52+(IF(R52="IN-07",'Assumptions &amp; Inputs'!$C$66,AF52))*AL52)*AS52)+AW52+(((AI52+(IF(R52="IN-07",'Assumptions &amp; Inputs'!$C$66,AF52))*AL52)*AS52)*AZ52)+IF(BD52="Yes",(((AI52+(IF(R52="IN-07",'Assumptions &amp; Inputs'!$C$66,AF52))*AL52)*AS52)+AW52)*VLOOKUP("IN-34",'Assumptions &amp; Inputs'!$A$31:$F$69,3,FALSE),0),0)</f>
        <v>0</v>
      </c>
      <c r="BV52" s="4">
        <f>IF(BO52=1,((AJ52+(IF(R52="IN-07",'Assumptions &amp; Inputs'!$D$66,AG52))*AM52)*AS52)+AX52+(((AJ52+(IF(R52="IN-07",'Assumptions &amp; Inputs'!$D$66,AG52))*AM52)*AS52)*AZ52)+IF(BD52="Yes",(((AJ52+(IF(R52="IN-07",'Assumptions &amp; Inputs'!$D$66,AG52))*AM52)*AS52)+AX52)*VLOOKUP("IN-34",'Assumptions &amp; Inputs'!$A$31:$F$69,4,FALSE),0),0)</f>
        <v>0</v>
      </c>
      <c r="BW52" s="4">
        <f>IF(BO52=1,((AK52+(IF(R52="IN-07",'Assumptions &amp; Inputs'!$E$66,AH52))*AN52)*AS52)+AY52+(((AK52+(IF(R52="IN-07",'Assumptions &amp; Inputs'!$E$66,AH52))*AN52)*AS52)*AZ52)+IF(BD52="Yes",(((AK52+(IF(R52="IN-07",'Assumptions &amp; Inputs'!$E$66,AH52))*AN52)*AS52)+AY52)*VLOOKUP("IN-34",'Assumptions &amp; Inputs'!$A$31:$F$69,5,FALSE),0),0)</f>
        <v>0</v>
      </c>
      <c r="BX52" s="4">
        <f>IF(BP52=1,((AI52+(IF(R52="IN-07",'Assumptions &amp; Inputs'!$C$66,AF52))*AL52)*AS52)+AW52+(((AI52+(IF(R52="IN-07",'Assumptions &amp; Inputs'!$C$66,AF52))*AL52)*AS52)*AZ52)+IF(BD52="Yes",(((AI52+(IF(R52="IN-07",'Assumptions &amp; Inputs'!$C$66,AF52))*AL52)*AS52)+AW52)*VLOOKUP("IN-34",'Assumptions &amp; Inputs'!$A$31:$F$69,3,FALSE),0),0)</f>
        <v>0</v>
      </c>
      <c r="BY52" s="4">
        <f>IF(BP52=1,((AJ52+(IF(R52="IN-07",'Assumptions &amp; Inputs'!$D$66,AG52))*AM52)*AS52)+AX52+(((AJ52+(IF(R52="IN-07",'Assumptions &amp; Inputs'!$D$66,AG52))*AM52)*AS52)*AZ52)+IF(BD52="Yes",(((AJ52+(IF(R52="IN-07",'Assumptions &amp; Inputs'!$D$66,AG52))*AM52)*AS52)+AX52)*VLOOKUP("IN-34",'Assumptions &amp; Inputs'!$A$31:$F$69,4,FALSE),0),0)</f>
        <v>0</v>
      </c>
      <c r="BZ52" s="4">
        <f>IF(BP52=1,((AK52+(IF(R52="IN-07",'Assumptions &amp; Inputs'!$E$66,AH52))*AN52)*AS52)+AY52+(((AK52+(IF(R52="IN-07",'Assumptions &amp; Inputs'!$E$66,AH52))*AN52)*AS52)*AZ52)+IF(BD52="Yes",(((AK52+(IF(R52="IN-07",'Assumptions &amp; Inputs'!$E$66,AH52))*AN52)*AS52)+AY52)*VLOOKUP("IN-34",'Assumptions &amp; Inputs'!$A$31:$F$69,5,FALSE),0),0)</f>
        <v>0</v>
      </c>
      <c r="CA52" s="4">
        <f>IF(BQ52=1,((AI52+(IF(R52="IN-07",'Assumptions &amp; Inputs'!$C$65,AF52))*AL52)*AS52)+AW52+(((AI52+(IF(R52="IN-07",'Assumptions &amp; Inputs'!$C$65,AF52))*AL52)*AS52)*AZ52)+IF(BD52="Yes",(((AI52+(IF(R52="IN-07",'Assumptions &amp; Inputs'!$C$65,AF52))*AL52)*AS52)+AW52)*VLOOKUP("IN-34",'Assumptions &amp; Inputs'!$A$31:$F$69,3,FALSE),0),0)</f>
        <v>4428.6749999999993</v>
      </c>
      <c r="CB52" s="4">
        <f>IF(BQ52=1,((AJ52+(IF(R52="IN-07",'Assumptions &amp; Inputs'!$D$65,AG52))*AM52)*AS52)+AX52+(((AJ52+(IF(R52="IN-07",'Assumptions &amp; Inputs'!$D$65,AG52))*AM52)*AS52)*AZ52)+IF(BD52="Yes",(((AJ52+(IF(R52="IN-07",'Assumptions &amp; Inputs'!$D$65,AG52))*AM52)*AS52)+AX52)*VLOOKUP("IN-34",'Assumptions &amp; Inputs'!$A$31:$F$69,4,FALSE),0),0)</f>
        <v>12028.5</v>
      </c>
      <c r="CC52" s="4">
        <f>IF(BQ52=1,((AK52+(IF(R52="IN-07",'Assumptions &amp; Inputs'!$E$65,AH52))*AN52)*AS52)+AY52+(((AK52+(IF(R52="IN-07",'Assumptions &amp; Inputs'!$E$65,AH52))*AN52)*AS52)*AZ52)+IF(BD52="Yes",(((AK52+(IF(R52="IN-07",'Assumptions &amp; Inputs'!$E$65,AH52))*AN52)*AS52)+AY52)*VLOOKUP("IN-34",'Assumptions &amp; Inputs'!$A$31:$F$69,5,FALSE),0),0)</f>
        <v>38053.799999999996</v>
      </c>
      <c r="CD52" s="4">
        <f>IF(BR52=1,((AI52+(IF(R52="IN-07",'Assumptions &amp; Inputs'!$C$65,AF52))*AL52)*AS52)+AW52+(((AI52+(IF(R52="IN-07",'Assumptions &amp; Inputs'!$C$65,AF52))*AL52)*AS52)*AZ52)+IF(BD52="Yes",(((AI52+(IF(R52="IN-07",'Assumptions &amp; Inputs'!$C$65,AF52))*AL52)*AS52)+AW52)*VLOOKUP("IN-34",'Assumptions &amp; Inputs'!$A$31:$F$69,3,FALSE),0),0)</f>
        <v>4428.6749999999993</v>
      </c>
      <c r="CE52" s="4">
        <f>IF(BR52=1,((AJ52+(IF(R52="IN-07",'Assumptions &amp; Inputs'!$D$65,AG52))*AM52)*AS52)+AX52+(((AJ52+(IF(R52="IN-07",'Assumptions &amp; Inputs'!$D$65,AG52))*AM52)*AS52)*AZ52)+IF(BD52="Yes",(((AJ52+(IF(R52="IN-07",'Assumptions &amp; Inputs'!$D$65,AG52))*AM52)*AS52)+AX52)*VLOOKUP("IN-34",'Assumptions &amp; Inputs'!$A$31:$F$69,4,FALSE),0),0)</f>
        <v>12028.5</v>
      </c>
      <c r="CF52" s="4">
        <f>IF(BR52=1,((AK52+(IF(R52="IN-07",'Assumptions &amp; Inputs'!$E$65,AH52))*AN52)*AS52)+AY52+(((AK52+(IF(R52="IN-07",'Assumptions &amp; Inputs'!$E$65,AH52))*AN52)*AS52)*AZ52)+IF(BD52="Yes",(((AK52+(IF(R52="IN-07",'Assumptions &amp; Inputs'!$E$65,AH52))*AN52)*AS52)+AY52)*VLOOKUP("IN-34",'Assumptions &amp; Inputs'!$A$31:$F$69,5,FALSE),0),0)</f>
        <v>38053.799999999996</v>
      </c>
      <c r="CG52" s="4">
        <f>IF(BS52=1,((AI52+(IF(R52="IN-07",0,AF52))*AL52)*AS52)+AW52+(((AI52+(IF(R52="IN-07",0,AF52))*AL52)*AS52)*AZ52)+IF(BD52="Yes",(((AI52+(IF(R52="IN-07",0,AF52))*AL52)*AS52)+AW52)*VLOOKUP("IN-34",'Assumptions &amp; Inputs'!$A$31:$F$69,3,FALSE),0),0)</f>
        <v>4428.6749999999993</v>
      </c>
      <c r="CH52" s="4">
        <f>IF(BS52=1,((AJ52+(IF(R52="IN-07",0,AG52))*AM52)*AS52)+AX52+(((AJ52+(IF(R52="IN-07",0,AG52))*AM52)*AS52)*AZ52)+IF(BD52="Yes",(((AJ52+(IF(R52="IN-07",0,AG52))*AM52)*AS52)+AX52)*VLOOKUP("IN-34",'Assumptions &amp; Inputs'!$A$31:$F$69,4,FALSE),0),0)</f>
        <v>12028.5</v>
      </c>
      <c r="CI52" s="4">
        <f>IF(BS52=1,((AK52+(IF(R52="IN-07",0,AH52))*AN52)*AS52)+AY52+(((AK52+(IF(R52="IN-07",0,AH52))*AN52)*AS52)*AZ52)+IF(BD52="Yes",(((AK52+(IF(R52="IN-07",0,AH52))*AN52)*AS52)+AY52)*VLOOKUP("IN-34",'Assumptions &amp; Inputs'!$A$31:$F$69,5,FALSE),0),0)</f>
        <v>38053.799999999996</v>
      </c>
      <c r="CJ52" s="4">
        <f>IF(BT52=1,((AI52+(IF(R52="IN-07",0,AF52))*AL52)*AS52)+AW52+(((AI52+(IF(R52="IN-07",0,AF52))*AL52)*AS52)*AZ52)+IF(BD52="Yes",(((AI52+(IF(R52="IN-07",0,AF52))*AL52)*AS52)+AW52)*VLOOKUP("IN-34",'Assumptions &amp; Inputs'!$A$31:$F$69,3,FALSE),0),0)</f>
        <v>4428.6749999999993</v>
      </c>
      <c r="CK52" s="4">
        <f>IF(BT52=1,((AJ52+(IF(R52="IN-07",0,AG52))*AM52)*AS52)+AX52+(((AJ52+(IF(R52="IN-07",0,AG52))*AM52)*AS52)*AZ52)+IF(BD52="Yes",(((AJ52+(IF(R52="IN-07",0,AG52))*AM52)*AS52)+AX52)*VLOOKUP("IN-34",'Assumptions &amp; Inputs'!$A$31:$F$69,4,FALSE),0),0)</f>
        <v>12028.5</v>
      </c>
      <c r="CL52" s="4">
        <f>IF(BT52=1,((AK52+(IF(R52="IN-07",0,AH52))*AN52)*AS52)+AY52+(((AK52+(IF(R52="IN-07",0,AH52))*AN52)*AS52)*AZ52)+IF(BD52="Yes",(((AK52+(IF(R52="IN-07",0,AH52))*AN52)*AS52)+AY52)*VLOOKUP("IN-34",'Assumptions &amp; Inputs'!$A$31:$F$69,5,FALSE),0),0)</f>
        <v>38053.799999999996</v>
      </c>
    </row>
    <row r="53" spans="1:90" ht="43.5" x14ac:dyDescent="0.35">
      <c r="A53" s="51" t="s">
        <v>1153</v>
      </c>
      <c r="B53" s="51" t="s">
        <v>193</v>
      </c>
      <c r="C53" s="51" t="s">
        <v>49</v>
      </c>
      <c r="D53" s="51" t="s">
        <v>55</v>
      </c>
      <c r="E53" s="51" t="s">
        <v>1154</v>
      </c>
      <c r="F53" s="51" t="s">
        <v>1155</v>
      </c>
      <c r="G53" s="51" t="s">
        <v>1156</v>
      </c>
      <c r="H53" s="51" t="s">
        <v>1157</v>
      </c>
      <c r="I53" s="51" t="s">
        <v>49</v>
      </c>
      <c r="J53" s="51" t="s">
        <v>1158</v>
      </c>
      <c r="K53" s="51" t="s">
        <v>1159</v>
      </c>
      <c r="L53" s="51" t="s">
        <v>49</v>
      </c>
      <c r="M53" s="51" t="s">
        <v>532</v>
      </c>
      <c r="N53" s="51" t="s">
        <v>162</v>
      </c>
      <c r="O53" s="51" t="s">
        <v>813</v>
      </c>
      <c r="P53" s="51" t="s">
        <v>627</v>
      </c>
      <c r="Q53" s="51" t="s">
        <v>1160</v>
      </c>
      <c r="R53" s="51" t="s">
        <v>313</v>
      </c>
      <c r="S53" s="51" t="s">
        <v>686</v>
      </c>
      <c r="T53" s="51" t="s">
        <v>901</v>
      </c>
      <c r="U53" s="51" t="s">
        <v>1161</v>
      </c>
      <c r="V53" s="51" t="s">
        <v>1112</v>
      </c>
      <c r="W53" s="51" t="s">
        <v>850</v>
      </c>
      <c r="X53" s="51" t="s">
        <v>903</v>
      </c>
      <c r="Y53" s="51" t="s">
        <v>1162</v>
      </c>
      <c r="Z53" s="51" t="s">
        <v>601</v>
      </c>
      <c r="AA53" s="51" t="s">
        <v>1115</v>
      </c>
      <c r="AB53" s="51" t="s">
        <v>36</v>
      </c>
      <c r="AC53" s="51" t="s">
        <v>1163</v>
      </c>
      <c r="AD53" s="51" t="s">
        <v>906</v>
      </c>
      <c r="AE53" s="20">
        <f>IF(ISNUMBER(SEARCH('Scenario Definitions'!$C$5,N53)),1,0)</f>
        <v>1</v>
      </c>
      <c r="AF53" s="20">
        <f>IFERROR(VLOOKUP(R53,'Assumptions &amp; Inputs'!$A$31:$F$69,3,FALSE),0)</f>
        <v>1</v>
      </c>
      <c r="AG53" s="20">
        <f>IFERROR(VLOOKUP(R53,'Assumptions &amp; Inputs'!$A$31:$F$69,4,FALSE),0)</f>
        <v>1</v>
      </c>
      <c r="AH53" s="21">
        <f>IFERROR(VLOOKUP(R53,'Assumptions &amp; Inputs'!$A$31:$F$69,5,FALSE),0)</f>
        <v>1</v>
      </c>
      <c r="AI53" s="11">
        <v>0</v>
      </c>
      <c r="AJ53" s="11">
        <v>0</v>
      </c>
      <c r="AK53" s="11">
        <v>0</v>
      </c>
      <c r="AL53" s="11">
        <v>75</v>
      </c>
      <c r="AM53" s="11">
        <v>100</v>
      </c>
      <c r="AN53" s="11">
        <v>150</v>
      </c>
      <c r="AO53" s="38">
        <f t="shared" si="18"/>
        <v>75</v>
      </c>
      <c r="AP53" s="20">
        <f t="shared" si="19"/>
        <v>100</v>
      </c>
      <c r="AQ53" s="21">
        <f t="shared" si="20"/>
        <v>150</v>
      </c>
      <c r="AR53" s="58" t="s">
        <v>425</v>
      </c>
      <c r="AS53" s="34">
        <f>IFERROR(VLOOKUP(AR53,'Assumptions &amp; Inputs'!$A$73:$I$100,9,FALSE),0)</f>
        <v>145</v>
      </c>
      <c r="AT53" s="28">
        <f t="shared" si="21"/>
        <v>10875</v>
      </c>
      <c r="AU53" s="28">
        <f t="shared" si="22"/>
        <v>14500</v>
      </c>
      <c r="AV53" s="29">
        <f t="shared" si="23"/>
        <v>21750</v>
      </c>
      <c r="AW53" s="57">
        <v>30000</v>
      </c>
      <c r="AX53" s="57">
        <v>70000</v>
      </c>
      <c r="AY53" s="57">
        <v>150000</v>
      </c>
      <c r="AZ53" s="34">
        <f>IFERROR(VLOOKUP(C53,'Assumptions &amp; Inputs'!$A$104:$B$107,2,FALSE),0)</f>
        <v>0.3</v>
      </c>
      <c r="BA53" s="28">
        <f t="shared" si="24"/>
        <v>3262.5</v>
      </c>
      <c r="BB53" s="28">
        <f t="shared" si="25"/>
        <v>4350</v>
      </c>
      <c r="BC53" s="29">
        <f t="shared" si="26"/>
        <v>6525</v>
      </c>
      <c r="BD53" s="57" t="s">
        <v>209</v>
      </c>
      <c r="BE53" s="34">
        <f>IF(BD53="Yes",(AT53+AW53)*VLOOKUP("IN-34",'Assumptions &amp; Inputs'!$A$31:$F$69,3,FALSE),0)</f>
        <v>2043.75</v>
      </c>
      <c r="BF53" s="28">
        <f>IF(BD53="Yes",(AU53+AX53)*VLOOKUP("IN-34",'Assumptions &amp; Inputs'!$A$31:$F$69,4,FALSE),0)</f>
        <v>6337.5</v>
      </c>
      <c r="BG53" s="28">
        <f>IF(BD53="Yes",(AV53+AY53)*VLOOKUP("IN-34",'Assumptions &amp; Inputs'!$A$31:$F$69,5,FALSE),0)</f>
        <v>25762.5</v>
      </c>
      <c r="BH53" s="28">
        <f t="shared" si="27"/>
        <v>46181.25</v>
      </c>
      <c r="BI53" s="28">
        <f t="shared" si="28"/>
        <v>95187.5</v>
      </c>
      <c r="BJ53" s="29">
        <f t="shared" si="29"/>
        <v>204037.5</v>
      </c>
      <c r="BK53" s="58" t="s">
        <v>548</v>
      </c>
      <c r="BL53" s="58" t="s">
        <v>549</v>
      </c>
      <c r="BM53" s="58" t="s">
        <v>1115</v>
      </c>
      <c r="BN53" s="58" t="s">
        <v>550</v>
      </c>
      <c r="BO53" s="5">
        <f t="shared" si="30"/>
        <v>0</v>
      </c>
      <c r="BP53" s="5">
        <f t="shared" si="31"/>
        <v>0</v>
      </c>
      <c r="BQ53" s="5">
        <f t="shared" si="32"/>
        <v>1</v>
      </c>
      <c r="BR53" s="5">
        <f t="shared" si="33"/>
        <v>1</v>
      </c>
      <c r="BS53" s="5">
        <f t="shared" si="34"/>
        <v>0</v>
      </c>
      <c r="BT53" s="5">
        <f t="shared" si="35"/>
        <v>0</v>
      </c>
      <c r="BU53" s="4">
        <f>IF(BO53=1,((AI53+(IF(R53="IN-07",'Assumptions &amp; Inputs'!$C$66,AF53))*AL53)*AS53)+AW53+(((AI53+(IF(R53="IN-07",'Assumptions &amp; Inputs'!$C$66,AF53))*AL53)*AS53)*AZ53)+IF(BD53="Yes",(((AI53+(IF(R53="IN-07",'Assumptions &amp; Inputs'!$C$66,AF53))*AL53)*AS53)+AW53)*VLOOKUP("IN-34",'Assumptions &amp; Inputs'!$A$31:$F$69,3,FALSE),0),0)</f>
        <v>0</v>
      </c>
      <c r="BV53" s="4">
        <f>IF(BO53=1,((AJ53+(IF(R53="IN-07",'Assumptions &amp; Inputs'!$D$66,AG53))*AM53)*AS53)+AX53+(((AJ53+(IF(R53="IN-07",'Assumptions &amp; Inputs'!$D$66,AG53))*AM53)*AS53)*AZ53)+IF(BD53="Yes",(((AJ53+(IF(R53="IN-07",'Assumptions &amp; Inputs'!$D$66,AG53))*AM53)*AS53)+AX53)*VLOOKUP("IN-34",'Assumptions &amp; Inputs'!$A$31:$F$69,4,FALSE),0),0)</f>
        <v>0</v>
      </c>
      <c r="BW53" s="4">
        <f>IF(BO53=1,((AK53+(IF(R53="IN-07",'Assumptions &amp; Inputs'!$E$66,AH53))*AN53)*AS53)+AY53+(((AK53+(IF(R53="IN-07",'Assumptions &amp; Inputs'!$E$66,AH53))*AN53)*AS53)*AZ53)+IF(BD53="Yes",(((AK53+(IF(R53="IN-07",'Assumptions &amp; Inputs'!$E$66,AH53))*AN53)*AS53)+AY53)*VLOOKUP("IN-34",'Assumptions &amp; Inputs'!$A$31:$F$69,5,FALSE),0),0)</f>
        <v>0</v>
      </c>
      <c r="BX53" s="4">
        <f>IF(BP53=1,((AI53+(IF(R53="IN-07",'Assumptions &amp; Inputs'!$C$66,AF53))*AL53)*AS53)+AW53+(((AI53+(IF(R53="IN-07",'Assumptions &amp; Inputs'!$C$66,AF53))*AL53)*AS53)*AZ53)+IF(BD53="Yes",(((AI53+(IF(R53="IN-07",'Assumptions &amp; Inputs'!$C$66,AF53))*AL53)*AS53)+AW53)*VLOOKUP("IN-34",'Assumptions &amp; Inputs'!$A$31:$F$69,3,FALSE),0),0)</f>
        <v>0</v>
      </c>
      <c r="BY53" s="4">
        <f>IF(BP53=1,((AJ53+(IF(R53="IN-07",'Assumptions &amp; Inputs'!$D$66,AG53))*AM53)*AS53)+AX53+(((AJ53+(IF(R53="IN-07",'Assumptions &amp; Inputs'!$D$66,AG53))*AM53)*AS53)*AZ53)+IF(BD53="Yes",(((AJ53+(IF(R53="IN-07",'Assumptions &amp; Inputs'!$D$66,AG53))*AM53)*AS53)+AX53)*VLOOKUP("IN-34",'Assumptions &amp; Inputs'!$A$31:$F$69,4,FALSE),0),0)</f>
        <v>0</v>
      </c>
      <c r="BZ53" s="4">
        <f>IF(BP53=1,((AK53+(IF(R53="IN-07",'Assumptions &amp; Inputs'!$E$66,AH53))*AN53)*AS53)+AY53+(((AK53+(IF(R53="IN-07",'Assumptions &amp; Inputs'!$E$66,AH53))*AN53)*AS53)*AZ53)+IF(BD53="Yes",(((AK53+(IF(R53="IN-07",'Assumptions &amp; Inputs'!$E$66,AH53))*AN53)*AS53)+AY53)*VLOOKUP("IN-34",'Assumptions &amp; Inputs'!$A$31:$F$69,5,FALSE),0),0)</f>
        <v>0</v>
      </c>
      <c r="CA53" s="4">
        <f>IF(BQ53=1,((AI53+(IF(R53="IN-07",'Assumptions &amp; Inputs'!$C$65,AF53))*AL53)*AS53)+AW53+(((AI53+(IF(R53="IN-07",'Assumptions &amp; Inputs'!$C$65,AF53))*AL53)*AS53)*AZ53)+IF(BD53="Yes",(((AI53+(IF(R53="IN-07",'Assumptions &amp; Inputs'!$C$65,AF53))*AL53)*AS53)+AW53)*VLOOKUP("IN-34",'Assumptions &amp; Inputs'!$A$31:$F$69,3,FALSE),0),0)</f>
        <v>46181.25</v>
      </c>
      <c r="CB53" s="4">
        <f>IF(BQ53=1,((AJ53+(IF(R53="IN-07",'Assumptions &amp; Inputs'!$D$65,AG53))*AM53)*AS53)+AX53+(((AJ53+(IF(R53="IN-07",'Assumptions &amp; Inputs'!$D$65,AG53))*AM53)*AS53)*AZ53)+IF(BD53="Yes",(((AJ53+(IF(R53="IN-07",'Assumptions &amp; Inputs'!$D$65,AG53))*AM53)*AS53)+AX53)*VLOOKUP("IN-34",'Assumptions &amp; Inputs'!$A$31:$F$69,4,FALSE),0),0)</f>
        <v>95187.5</v>
      </c>
      <c r="CC53" s="4">
        <f>IF(BQ53=1,((AK53+(IF(R53="IN-07",'Assumptions &amp; Inputs'!$E$65,AH53))*AN53)*AS53)+AY53+(((AK53+(IF(R53="IN-07",'Assumptions &amp; Inputs'!$E$65,AH53))*AN53)*AS53)*AZ53)+IF(BD53="Yes",(((AK53+(IF(R53="IN-07",'Assumptions &amp; Inputs'!$E$65,AH53))*AN53)*AS53)+AY53)*VLOOKUP("IN-34",'Assumptions &amp; Inputs'!$A$31:$F$69,5,FALSE),0),0)</f>
        <v>204037.5</v>
      </c>
      <c r="CD53" s="4">
        <f>IF(BR53=1,((AI53+(IF(R53="IN-07",'Assumptions &amp; Inputs'!$C$65,AF53))*AL53)*AS53)+AW53+(((AI53+(IF(R53="IN-07",'Assumptions &amp; Inputs'!$C$65,AF53))*AL53)*AS53)*AZ53)+IF(BD53="Yes",(((AI53+(IF(R53="IN-07",'Assumptions &amp; Inputs'!$C$65,AF53))*AL53)*AS53)+AW53)*VLOOKUP("IN-34",'Assumptions &amp; Inputs'!$A$31:$F$69,3,FALSE),0),0)</f>
        <v>46181.25</v>
      </c>
      <c r="CE53" s="4">
        <f>IF(BR53=1,((AJ53+(IF(R53="IN-07",'Assumptions &amp; Inputs'!$D$65,AG53))*AM53)*AS53)+AX53+(((AJ53+(IF(R53="IN-07",'Assumptions &amp; Inputs'!$D$65,AG53))*AM53)*AS53)*AZ53)+IF(BD53="Yes",(((AJ53+(IF(R53="IN-07",'Assumptions &amp; Inputs'!$D$65,AG53))*AM53)*AS53)+AX53)*VLOOKUP("IN-34",'Assumptions &amp; Inputs'!$A$31:$F$69,4,FALSE),0),0)</f>
        <v>95187.5</v>
      </c>
      <c r="CF53" s="4">
        <f>IF(BR53=1,((AK53+(IF(R53="IN-07",'Assumptions &amp; Inputs'!$E$65,AH53))*AN53)*AS53)+AY53+(((AK53+(IF(R53="IN-07",'Assumptions &amp; Inputs'!$E$65,AH53))*AN53)*AS53)*AZ53)+IF(BD53="Yes",(((AK53+(IF(R53="IN-07",'Assumptions &amp; Inputs'!$E$65,AH53))*AN53)*AS53)+AY53)*VLOOKUP("IN-34",'Assumptions &amp; Inputs'!$A$31:$F$69,5,FALSE),0),0)</f>
        <v>204037.5</v>
      </c>
      <c r="CG53" s="4">
        <f>IF(BS53=1,((AI53+(IF(R53="IN-07",0,AF53))*AL53)*AS53)+AW53+(((AI53+(IF(R53="IN-07",0,AF53))*AL53)*AS53)*AZ53)+IF(BD53="Yes",(((AI53+(IF(R53="IN-07",0,AF53))*AL53)*AS53)+AW53)*VLOOKUP("IN-34",'Assumptions &amp; Inputs'!$A$31:$F$69,3,FALSE),0),0)</f>
        <v>0</v>
      </c>
      <c r="CH53" s="4">
        <f>IF(BS53=1,((AJ53+(IF(R53="IN-07",0,AG53))*AM53)*AS53)+AX53+(((AJ53+(IF(R53="IN-07",0,AG53))*AM53)*AS53)*AZ53)+IF(BD53="Yes",(((AJ53+(IF(R53="IN-07",0,AG53))*AM53)*AS53)+AX53)*VLOOKUP("IN-34",'Assumptions &amp; Inputs'!$A$31:$F$69,4,FALSE),0),0)</f>
        <v>0</v>
      </c>
      <c r="CI53" s="4">
        <f>IF(BS53=1,((AK53+(IF(R53="IN-07",0,AH53))*AN53)*AS53)+AY53+(((AK53+(IF(R53="IN-07",0,AH53))*AN53)*AS53)*AZ53)+IF(BD53="Yes",(((AK53+(IF(R53="IN-07",0,AH53))*AN53)*AS53)+AY53)*VLOOKUP("IN-34",'Assumptions &amp; Inputs'!$A$31:$F$69,5,FALSE),0),0)</f>
        <v>0</v>
      </c>
      <c r="CJ53" s="4">
        <f>IF(BT53=1,((AI53+(IF(R53="IN-07",0,AF53))*AL53)*AS53)+AW53+(((AI53+(IF(R53="IN-07",0,AF53))*AL53)*AS53)*AZ53)+IF(BD53="Yes",(((AI53+(IF(R53="IN-07",0,AF53))*AL53)*AS53)+AW53)*VLOOKUP("IN-34",'Assumptions &amp; Inputs'!$A$31:$F$69,3,FALSE),0),0)</f>
        <v>0</v>
      </c>
      <c r="CK53" s="4">
        <f>IF(BT53=1,((AJ53+(IF(R53="IN-07",0,AG53))*AM53)*AS53)+AX53+(((AJ53+(IF(R53="IN-07",0,AG53))*AM53)*AS53)*AZ53)+IF(BD53="Yes",(((AJ53+(IF(R53="IN-07",0,AG53))*AM53)*AS53)+AX53)*VLOOKUP("IN-34",'Assumptions &amp; Inputs'!$A$31:$F$69,4,FALSE),0),0)</f>
        <v>0</v>
      </c>
      <c r="CL53" s="4">
        <f>IF(BT53=1,((AK53+(IF(R53="IN-07",0,AH53))*AN53)*AS53)+AY53+(((AK53+(IF(R53="IN-07",0,AH53))*AN53)*AS53)*AZ53)+IF(BD53="Yes",(((AK53+(IF(R53="IN-07",0,AH53))*AN53)*AS53)+AY53)*VLOOKUP("IN-34",'Assumptions &amp; Inputs'!$A$31:$F$69,5,FALSE),0),0)</f>
        <v>0</v>
      </c>
    </row>
    <row r="54" spans="1:90" ht="43.5" x14ac:dyDescent="0.35">
      <c r="A54" s="51" t="s">
        <v>1164</v>
      </c>
      <c r="B54" s="51" t="s">
        <v>194</v>
      </c>
      <c r="C54" s="51" t="s">
        <v>49</v>
      </c>
      <c r="D54" s="51" t="s">
        <v>55</v>
      </c>
      <c r="E54" s="51" t="s">
        <v>1165</v>
      </c>
      <c r="F54" s="51" t="s">
        <v>1166</v>
      </c>
      <c r="G54" s="51" t="s">
        <v>1167</v>
      </c>
      <c r="H54" s="51" t="s">
        <v>1168</v>
      </c>
      <c r="I54" s="51" t="s">
        <v>49</v>
      </c>
      <c r="J54" s="51" t="s">
        <v>1169</v>
      </c>
      <c r="K54" s="51" t="s">
        <v>875</v>
      </c>
      <c r="L54" s="51" t="s">
        <v>49</v>
      </c>
      <c r="M54" s="51" t="s">
        <v>532</v>
      </c>
      <c r="N54" s="51" t="s">
        <v>1170</v>
      </c>
      <c r="O54" s="51" t="s">
        <v>813</v>
      </c>
      <c r="P54" s="51" t="s">
        <v>876</v>
      </c>
      <c r="Q54" s="51" t="s">
        <v>1171</v>
      </c>
      <c r="R54" s="51" t="s">
        <v>306</v>
      </c>
      <c r="S54" s="51" t="s">
        <v>877</v>
      </c>
      <c r="T54" s="51" t="s">
        <v>889</v>
      </c>
      <c r="U54" s="51" t="s">
        <v>1172</v>
      </c>
      <c r="V54" s="51" t="s">
        <v>1112</v>
      </c>
      <c r="W54" s="51" t="s">
        <v>1151</v>
      </c>
      <c r="X54" s="51" t="s">
        <v>690</v>
      </c>
      <c r="Y54" s="51" t="s">
        <v>1173</v>
      </c>
      <c r="Z54" s="51" t="s">
        <v>601</v>
      </c>
      <c r="AA54" s="51" t="s">
        <v>1115</v>
      </c>
      <c r="AB54" s="51" t="s">
        <v>1174</v>
      </c>
      <c r="AC54" s="51" t="s">
        <v>1175</v>
      </c>
      <c r="AD54" s="51" t="s">
        <v>1176</v>
      </c>
      <c r="AE54" s="20">
        <f>IF(ISNUMBER(SEARCH('Scenario Definitions'!$C$5,N54)),1,0)</f>
        <v>0</v>
      </c>
      <c r="AF54" s="20">
        <f>IFERROR(VLOOKUP(R54,'Assumptions &amp; Inputs'!$A$31:$F$69,3,FALSE),0)</f>
        <v>3</v>
      </c>
      <c r="AG54" s="20">
        <f>IFERROR(VLOOKUP(R54,'Assumptions &amp; Inputs'!$A$31:$F$69,4,FALSE),0)</f>
        <v>5</v>
      </c>
      <c r="AH54" s="21">
        <f>IFERROR(VLOOKUP(R54,'Assumptions &amp; Inputs'!$A$31:$F$69,5,FALSE),0)</f>
        <v>8</v>
      </c>
      <c r="AI54" s="11">
        <v>150</v>
      </c>
      <c r="AJ54" s="11">
        <v>200</v>
      </c>
      <c r="AK54" s="11">
        <v>300</v>
      </c>
      <c r="AL54" s="11">
        <v>45</v>
      </c>
      <c r="AM54" s="11">
        <v>60</v>
      </c>
      <c r="AN54" s="11">
        <v>90</v>
      </c>
      <c r="AO54" s="38">
        <f t="shared" si="18"/>
        <v>285</v>
      </c>
      <c r="AP54" s="20">
        <f t="shared" si="19"/>
        <v>500</v>
      </c>
      <c r="AQ54" s="21">
        <f t="shared" si="20"/>
        <v>1020</v>
      </c>
      <c r="AR54" s="58" t="s">
        <v>425</v>
      </c>
      <c r="AS54" s="34">
        <f>IFERROR(VLOOKUP(AR54,'Assumptions &amp; Inputs'!$A$73:$I$100,9,FALSE),0)</f>
        <v>145</v>
      </c>
      <c r="AT54" s="28">
        <f t="shared" si="21"/>
        <v>41325</v>
      </c>
      <c r="AU54" s="28">
        <f t="shared" si="22"/>
        <v>72500</v>
      </c>
      <c r="AV54" s="29">
        <f t="shared" si="23"/>
        <v>147900</v>
      </c>
      <c r="AW54" s="57">
        <v>100000</v>
      </c>
      <c r="AX54" s="57">
        <v>250000</v>
      </c>
      <c r="AY54" s="57">
        <v>600000</v>
      </c>
      <c r="AZ54" s="34">
        <f>IFERROR(VLOOKUP(C54,'Assumptions &amp; Inputs'!$A$104:$B$107,2,FALSE),0)</f>
        <v>0.3</v>
      </c>
      <c r="BA54" s="28">
        <f t="shared" si="24"/>
        <v>12397.5</v>
      </c>
      <c r="BB54" s="28">
        <f t="shared" si="25"/>
        <v>21750</v>
      </c>
      <c r="BC54" s="29">
        <f t="shared" si="26"/>
        <v>44370</v>
      </c>
      <c r="BD54" s="57" t="s">
        <v>209</v>
      </c>
      <c r="BE54" s="34">
        <f>IF(BD54="Yes",(AT54+AW54)*VLOOKUP("IN-34",'Assumptions &amp; Inputs'!$A$31:$F$69,3,FALSE),0)</f>
        <v>7066.25</v>
      </c>
      <c r="BF54" s="28">
        <f>IF(BD54="Yes",(AU54+AX54)*VLOOKUP("IN-34",'Assumptions &amp; Inputs'!$A$31:$F$69,4,FALSE),0)</f>
        <v>24187.5</v>
      </c>
      <c r="BG54" s="28">
        <f>IF(BD54="Yes",(AV54+AY54)*VLOOKUP("IN-34",'Assumptions &amp; Inputs'!$A$31:$F$69,5,FALSE),0)</f>
        <v>112185</v>
      </c>
      <c r="BH54" s="28">
        <f t="shared" si="27"/>
        <v>160788.75</v>
      </c>
      <c r="BI54" s="28">
        <f t="shared" si="28"/>
        <v>368437.5</v>
      </c>
      <c r="BJ54" s="29">
        <f t="shared" si="29"/>
        <v>904455</v>
      </c>
      <c r="BK54" s="58" t="s">
        <v>548</v>
      </c>
      <c r="BL54" s="58" t="s">
        <v>549</v>
      </c>
      <c r="BM54" s="58" t="s">
        <v>1115</v>
      </c>
      <c r="BN54" s="58" t="s">
        <v>550</v>
      </c>
      <c r="BO54" s="5">
        <f t="shared" si="30"/>
        <v>0</v>
      </c>
      <c r="BP54" s="5">
        <f t="shared" si="31"/>
        <v>0</v>
      </c>
      <c r="BQ54" s="5">
        <f t="shared" si="32"/>
        <v>0</v>
      </c>
      <c r="BR54" s="5">
        <f t="shared" si="33"/>
        <v>0</v>
      </c>
      <c r="BS54" s="5">
        <f t="shared" si="34"/>
        <v>1</v>
      </c>
      <c r="BT54" s="5">
        <f t="shared" si="35"/>
        <v>1</v>
      </c>
      <c r="BU54" s="4">
        <f>IF(BO54=1,((AI54+(IF(R54="IN-07",'Assumptions &amp; Inputs'!$C$66,AF54))*AL54)*AS54)+AW54+(((AI54+(IF(R54="IN-07",'Assumptions &amp; Inputs'!$C$66,AF54))*AL54)*AS54)*AZ54)+IF(BD54="Yes",(((AI54+(IF(R54="IN-07",'Assumptions &amp; Inputs'!$C$66,AF54))*AL54)*AS54)+AW54)*VLOOKUP("IN-34",'Assumptions &amp; Inputs'!$A$31:$F$69,3,FALSE),0),0)</f>
        <v>0</v>
      </c>
      <c r="BV54" s="4">
        <f>IF(BO54=1,((AJ54+(IF(R54="IN-07",'Assumptions &amp; Inputs'!$D$66,AG54))*AM54)*AS54)+AX54+(((AJ54+(IF(R54="IN-07",'Assumptions &amp; Inputs'!$D$66,AG54))*AM54)*AS54)*AZ54)+IF(BD54="Yes",(((AJ54+(IF(R54="IN-07",'Assumptions &amp; Inputs'!$D$66,AG54))*AM54)*AS54)+AX54)*VLOOKUP("IN-34",'Assumptions &amp; Inputs'!$A$31:$F$69,4,FALSE),0),0)</f>
        <v>0</v>
      </c>
      <c r="BW54" s="4">
        <f>IF(BO54=1,((AK54+(IF(R54="IN-07",'Assumptions &amp; Inputs'!$E$66,AH54))*AN54)*AS54)+AY54+(((AK54+(IF(R54="IN-07",'Assumptions &amp; Inputs'!$E$66,AH54))*AN54)*AS54)*AZ54)+IF(BD54="Yes",(((AK54+(IF(R54="IN-07",'Assumptions &amp; Inputs'!$E$66,AH54))*AN54)*AS54)+AY54)*VLOOKUP("IN-34",'Assumptions &amp; Inputs'!$A$31:$F$69,5,FALSE),0),0)</f>
        <v>0</v>
      </c>
      <c r="BX54" s="4">
        <f>IF(BP54=1,((AI54+(IF(R54="IN-07",'Assumptions &amp; Inputs'!$C$66,AF54))*AL54)*AS54)+AW54+(((AI54+(IF(R54="IN-07",'Assumptions &amp; Inputs'!$C$66,AF54))*AL54)*AS54)*AZ54)+IF(BD54="Yes",(((AI54+(IF(R54="IN-07",'Assumptions &amp; Inputs'!$C$66,AF54))*AL54)*AS54)+AW54)*VLOOKUP("IN-34",'Assumptions &amp; Inputs'!$A$31:$F$69,3,FALSE),0),0)</f>
        <v>0</v>
      </c>
      <c r="BY54" s="4">
        <f>IF(BP54=1,((AJ54+(IF(R54="IN-07",'Assumptions &amp; Inputs'!$D$66,AG54))*AM54)*AS54)+AX54+(((AJ54+(IF(R54="IN-07",'Assumptions &amp; Inputs'!$D$66,AG54))*AM54)*AS54)*AZ54)+IF(BD54="Yes",(((AJ54+(IF(R54="IN-07",'Assumptions &amp; Inputs'!$D$66,AG54))*AM54)*AS54)+AX54)*VLOOKUP("IN-34",'Assumptions &amp; Inputs'!$A$31:$F$69,4,FALSE),0),0)</f>
        <v>0</v>
      </c>
      <c r="BZ54" s="4">
        <f>IF(BP54=1,((AK54+(IF(R54="IN-07",'Assumptions &amp; Inputs'!$E$66,AH54))*AN54)*AS54)+AY54+(((AK54+(IF(R54="IN-07",'Assumptions &amp; Inputs'!$E$66,AH54))*AN54)*AS54)*AZ54)+IF(BD54="Yes",(((AK54+(IF(R54="IN-07",'Assumptions &amp; Inputs'!$E$66,AH54))*AN54)*AS54)+AY54)*VLOOKUP("IN-34",'Assumptions &amp; Inputs'!$A$31:$F$69,5,FALSE),0),0)</f>
        <v>0</v>
      </c>
      <c r="CA54" s="4">
        <f>IF(BQ54=1,((AI54+(IF(R54="IN-07",'Assumptions &amp; Inputs'!$C$65,AF54))*AL54)*AS54)+AW54+(((AI54+(IF(R54="IN-07",'Assumptions &amp; Inputs'!$C$65,AF54))*AL54)*AS54)*AZ54)+IF(BD54="Yes",(((AI54+(IF(R54="IN-07",'Assumptions &amp; Inputs'!$C$65,AF54))*AL54)*AS54)+AW54)*VLOOKUP("IN-34",'Assumptions &amp; Inputs'!$A$31:$F$69,3,FALSE),0),0)</f>
        <v>0</v>
      </c>
      <c r="CB54" s="4">
        <f>IF(BQ54=1,((AJ54+(IF(R54="IN-07",'Assumptions &amp; Inputs'!$D$65,AG54))*AM54)*AS54)+AX54+(((AJ54+(IF(R54="IN-07",'Assumptions &amp; Inputs'!$D$65,AG54))*AM54)*AS54)*AZ54)+IF(BD54="Yes",(((AJ54+(IF(R54="IN-07",'Assumptions &amp; Inputs'!$D$65,AG54))*AM54)*AS54)+AX54)*VLOOKUP("IN-34",'Assumptions &amp; Inputs'!$A$31:$F$69,4,FALSE),0),0)</f>
        <v>0</v>
      </c>
      <c r="CC54" s="4">
        <f>IF(BQ54=1,((AK54+(IF(R54="IN-07",'Assumptions &amp; Inputs'!$E$65,AH54))*AN54)*AS54)+AY54+(((AK54+(IF(R54="IN-07",'Assumptions &amp; Inputs'!$E$65,AH54))*AN54)*AS54)*AZ54)+IF(BD54="Yes",(((AK54+(IF(R54="IN-07",'Assumptions &amp; Inputs'!$E$65,AH54))*AN54)*AS54)+AY54)*VLOOKUP("IN-34",'Assumptions &amp; Inputs'!$A$31:$F$69,5,FALSE),0),0)</f>
        <v>0</v>
      </c>
      <c r="CD54" s="4">
        <f>IF(BR54=1,((AI54+(IF(R54="IN-07",'Assumptions &amp; Inputs'!$C$65,AF54))*AL54)*AS54)+AW54+(((AI54+(IF(R54="IN-07",'Assumptions &amp; Inputs'!$C$65,AF54))*AL54)*AS54)*AZ54)+IF(BD54="Yes",(((AI54+(IF(R54="IN-07",'Assumptions &amp; Inputs'!$C$65,AF54))*AL54)*AS54)+AW54)*VLOOKUP("IN-34",'Assumptions &amp; Inputs'!$A$31:$F$69,3,FALSE),0),0)</f>
        <v>0</v>
      </c>
      <c r="CE54" s="4">
        <f>IF(BR54=1,((AJ54+(IF(R54="IN-07",'Assumptions &amp; Inputs'!$D$65,AG54))*AM54)*AS54)+AX54+(((AJ54+(IF(R54="IN-07",'Assumptions &amp; Inputs'!$D$65,AG54))*AM54)*AS54)*AZ54)+IF(BD54="Yes",(((AJ54+(IF(R54="IN-07",'Assumptions &amp; Inputs'!$D$65,AG54))*AM54)*AS54)+AX54)*VLOOKUP("IN-34",'Assumptions &amp; Inputs'!$A$31:$F$69,4,FALSE),0),0)</f>
        <v>0</v>
      </c>
      <c r="CF54" s="4">
        <f>IF(BR54=1,((AK54+(IF(R54="IN-07",'Assumptions &amp; Inputs'!$E$65,AH54))*AN54)*AS54)+AY54+(((AK54+(IF(R54="IN-07",'Assumptions &amp; Inputs'!$E$65,AH54))*AN54)*AS54)*AZ54)+IF(BD54="Yes",(((AK54+(IF(R54="IN-07",'Assumptions &amp; Inputs'!$E$65,AH54))*AN54)*AS54)+AY54)*VLOOKUP("IN-34",'Assumptions &amp; Inputs'!$A$31:$F$69,5,FALSE),0),0)</f>
        <v>0</v>
      </c>
      <c r="CG54" s="4">
        <f>IF(BS54=1,((AI54+(IF(R54="IN-07",0,AF54))*AL54)*AS54)+AW54+(((AI54+(IF(R54="IN-07",0,AF54))*AL54)*AS54)*AZ54)+IF(BD54="Yes",(((AI54+(IF(R54="IN-07",0,AF54))*AL54)*AS54)+AW54)*VLOOKUP("IN-34",'Assumptions &amp; Inputs'!$A$31:$F$69,3,FALSE),0),0)</f>
        <v>160788.75</v>
      </c>
      <c r="CH54" s="4">
        <f>IF(BS54=1,((AJ54+(IF(R54="IN-07",0,AG54))*AM54)*AS54)+AX54+(((AJ54+(IF(R54="IN-07",0,AG54))*AM54)*AS54)*AZ54)+IF(BD54="Yes",(((AJ54+(IF(R54="IN-07",0,AG54))*AM54)*AS54)+AX54)*VLOOKUP("IN-34",'Assumptions &amp; Inputs'!$A$31:$F$69,4,FALSE),0),0)</f>
        <v>368437.5</v>
      </c>
      <c r="CI54" s="4">
        <f>IF(BS54=1,((AK54+(IF(R54="IN-07",0,AH54))*AN54)*AS54)+AY54+(((AK54+(IF(R54="IN-07",0,AH54))*AN54)*AS54)*AZ54)+IF(BD54="Yes",(((AK54+(IF(R54="IN-07",0,AH54))*AN54)*AS54)+AY54)*VLOOKUP("IN-34",'Assumptions &amp; Inputs'!$A$31:$F$69,5,FALSE),0),0)</f>
        <v>904455</v>
      </c>
      <c r="CJ54" s="4">
        <f>IF(BT54=1,((AI54+(IF(R54="IN-07",0,AF54))*AL54)*AS54)+AW54+(((AI54+(IF(R54="IN-07",0,AF54))*AL54)*AS54)*AZ54)+IF(BD54="Yes",(((AI54+(IF(R54="IN-07",0,AF54))*AL54)*AS54)+AW54)*VLOOKUP("IN-34",'Assumptions &amp; Inputs'!$A$31:$F$69,3,FALSE),0),0)</f>
        <v>160788.75</v>
      </c>
      <c r="CK54" s="4">
        <f>IF(BT54=1,((AJ54+(IF(R54="IN-07",0,AG54))*AM54)*AS54)+AX54+(((AJ54+(IF(R54="IN-07",0,AG54))*AM54)*AS54)*AZ54)+IF(BD54="Yes",(((AJ54+(IF(R54="IN-07",0,AG54))*AM54)*AS54)+AX54)*VLOOKUP("IN-34",'Assumptions &amp; Inputs'!$A$31:$F$69,4,FALSE),0),0)</f>
        <v>368437.5</v>
      </c>
      <c r="CL54" s="4">
        <f>IF(BT54=1,((AK54+(IF(R54="IN-07",0,AH54))*AN54)*AS54)+AY54+(((AK54+(IF(R54="IN-07",0,AH54))*AN54)*AS54)*AZ54)+IF(BD54="Yes",(((AK54+(IF(R54="IN-07",0,AH54))*AN54)*AS54)+AY54)*VLOOKUP("IN-34",'Assumptions &amp; Inputs'!$A$31:$F$69,5,FALSE),0),0)</f>
        <v>904455</v>
      </c>
    </row>
    <row r="55" spans="1:90" ht="43.5" x14ac:dyDescent="0.35">
      <c r="A55" s="51" t="s">
        <v>1177</v>
      </c>
      <c r="B55" s="51" t="s">
        <v>195</v>
      </c>
      <c r="C55" s="51" t="s">
        <v>49</v>
      </c>
      <c r="D55" s="51" t="s">
        <v>56</v>
      </c>
      <c r="E55" s="51" t="s">
        <v>1178</v>
      </c>
      <c r="F55" s="51" t="s">
        <v>1179</v>
      </c>
      <c r="G55" s="51" t="s">
        <v>1180</v>
      </c>
      <c r="H55" s="51" t="s">
        <v>1181</v>
      </c>
      <c r="I55" s="51" t="s">
        <v>49</v>
      </c>
      <c r="J55" s="51" t="s">
        <v>1182</v>
      </c>
      <c r="K55" s="51" t="s">
        <v>1135</v>
      </c>
      <c r="L55" s="51" t="s">
        <v>49</v>
      </c>
      <c r="M55" s="51" t="s">
        <v>532</v>
      </c>
      <c r="N55" s="51" t="s">
        <v>160</v>
      </c>
      <c r="O55" s="51" t="s">
        <v>813</v>
      </c>
      <c r="P55" s="51" t="s">
        <v>593</v>
      </c>
      <c r="Q55" s="51" t="s">
        <v>1148</v>
      </c>
      <c r="R55" s="51" t="s">
        <v>308</v>
      </c>
      <c r="S55" s="51" t="s">
        <v>863</v>
      </c>
      <c r="T55" s="51" t="s">
        <v>1183</v>
      </c>
      <c r="U55" s="51" t="s">
        <v>1184</v>
      </c>
      <c r="V55" s="51" t="s">
        <v>1126</v>
      </c>
      <c r="W55" s="51" t="s">
        <v>984</v>
      </c>
      <c r="X55" s="51" t="s">
        <v>1185</v>
      </c>
      <c r="Y55" s="51" t="s">
        <v>1186</v>
      </c>
      <c r="Z55" s="51" t="s">
        <v>543</v>
      </c>
      <c r="AA55" s="51" t="s">
        <v>1115</v>
      </c>
      <c r="AB55" s="51" t="s">
        <v>36</v>
      </c>
      <c r="AC55" s="51" t="s">
        <v>1187</v>
      </c>
      <c r="AD55" s="51" t="s">
        <v>722</v>
      </c>
      <c r="AE55" s="20">
        <f>IF(ISNUMBER(SEARCH('Scenario Definitions'!$C$5,N55)),1,0)</f>
        <v>1</v>
      </c>
      <c r="AF55" s="20">
        <f>IFERROR(VLOOKUP(R55,'Assumptions &amp; Inputs'!$A$31:$F$69,3,FALSE),0)</f>
        <v>1</v>
      </c>
      <c r="AG55" s="20">
        <f>IFERROR(VLOOKUP(R55,'Assumptions &amp; Inputs'!$A$31:$F$69,4,FALSE),0)</f>
        <v>2</v>
      </c>
      <c r="AH55" s="21">
        <f>IFERROR(VLOOKUP(R55,'Assumptions &amp; Inputs'!$A$31:$F$69,5,FALSE),0)</f>
        <v>4</v>
      </c>
      <c r="AI55" s="11">
        <v>0</v>
      </c>
      <c r="AJ55" s="11">
        <v>0</v>
      </c>
      <c r="AK55" s="11">
        <v>0</v>
      </c>
      <c r="AL55" s="11">
        <v>24.3</v>
      </c>
      <c r="AM55" s="11">
        <v>32.4</v>
      </c>
      <c r="AN55" s="11">
        <v>48.6</v>
      </c>
      <c r="AO55" s="38">
        <f t="shared" si="18"/>
        <v>24.3</v>
      </c>
      <c r="AP55" s="20">
        <f t="shared" si="19"/>
        <v>64.8</v>
      </c>
      <c r="AQ55" s="21">
        <f t="shared" si="20"/>
        <v>194.4</v>
      </c>
      <c r="AR55" s="58" t="s">
        <v>426</v>
      </c>
      <c r="AS55" s="34">
        <f>IFERROR(VLOOKUP(AR55,'Assumptions &amp; Inputs'!$A$73:$I$100,9,FALSE),0)</f>
        <v>105</v>
      </c>
      <c r="AT55" s="28">
        <f t="shared" si="21"/>
        <v>2551.5</v>
      </c>
      <c r="AU55" s="28">
        <f t="shared" si="22"/>
        <v>6804</v>
      </c>
      <c r="AV55" s="29">
        <f t="shared" si="23"/>
        <v>20412</v>
      </c>
      <c r="AW55" s="57">
        <v>2000</v>
      </c>
      <c r="AX55" s="57">
        <v>8000</v>
      </c>
      <c r="AY55" s="57">
        <v>20000</v>
      </c>
      <c r="AZ55" s="34">
        <f>IFERROR(VLOOKUP(C55,'Assumptions &amp; Inputs'!$A$104:$B$107,2,FALSE),0)</f>
        <v>0.3</v>
      </c>
      <c r="BA55" s="28">
        <f t="shared" si="24"/>
        <v>765.44999999999993</v>
      </c>
      <c r="BB55" s="28">
        <f t="shared" si="25"/>
        <v>2041.1999999999998</v>
      </c>
      <c r="BC55" s="29">
        <f t="shared" si="26"/>
        <v>6123.5999999999995</v>
      </c>
      <c r="BD55" s="57" t="s">
        <v>209</v>
      </c>
      <c r="BE55" s="34">
        <f>IF(BD55="Yes",(AT55+AW55)*VLOOKUP("IN-34",'Assumptions &amp; Inputs'!$A$31:$F$69,3,FALSE),0)</f>
        <v>227.57500000000002</v>
      </c>
      <c r="BF55" s="28">
        <f>IF(BD55="Yes",(AU55+AX55)*VLOOKUP("IN-34",'Assumptions &amp; Inputs'!$A$31:$F$69,4,FALSE),0)</f>
        <v>1110.3</v>
      </c>
      <c r="BG55" s="28">
        <f>IF(BD55="Yes",(AV55+AY55)*VLOOKUP("IN-34",'Assumptions &amp; Inputs'!$A$31:$F$69,5,FALSE),0)</f>
        <v>6061.8</v>
      </c>
      <c r="BH55" s="28">
        <f t="shared" si="27"/>
        <v>5544.5249999999996</v>
      </c>
      <c r="BI55" s="28">
        <f t="shared" si="28"/>
        <v>17955.5</v>
      </c>
      <c r="BJ55" s="29">
        <f t="shared" si="29"/>
        <v>52597.4</v>
      </c>
      <c r="BK55" s="58" t="s">
        <v>548</v>
      </c>
      <c r="BL55" s="58" t="s">
        <v>549</v>
      </c>
      <c r="BM55" s="58" t="s">
        <v>1115</v>
      </c>
      <c r="BN55" s="58" t="s">
        <v>550</v>
      </c>
      <c r="BO55" s="5">
        <f t="shared" si="30"/>
        <v>0</v>
      </c>
      <c r="BP55" s="5">
        <f t="shared" si="31"/>
        <v>0</v>
      </c>
      <c r="BQ55" s="5">
        <f t="shared" si="32"/>
        <v>1</v>
      </c>
      <c r="BR55" s="5">
        <f t="shared" si="33"/>
        <v>1</v>
      </c>
      <c r="BS55" s="5">
        <f t="shared" si="34"/>
        <v>1</v>
      </c>
      <c r="BT55" s="5">
        <f t="shared" si="35"/>
        <v>1</v>
      </c>
      <c r="BU55" s="4">
        <f>IF(BO55=1,((AI55+(IF(R55="IN-07",'Assumptions &amp; Inputs'!$C$66,AF55))*AL55)*AS55)+AW55+(((AI55+(IF(R55="IN-07",'Assumptions &amp; Inputs'!$C$66,AF55))*AL55)*AS55)*AZ55)+IF(BD55="Yes",(((AI55+(IF(R55="IN-07",'Assumptions &amp; Inputs'!$C$66,AF55))*AL55)*AS55)+AW55)*VLOOKUP("IN-34",'Assumptions &amp; Inputs'!$A$31:$F$69,3,FALSE),0),0)</f>
        <v>0</v>
      </c>
      <c r="BV55" s="4">
        <f>IF(BO55=1,((AJ55+(IF(R55="IN-07",'Assumptions &amp; Inputs'!$D$66,AG55))*AM55)*AS55)+AX55+(((AJ55+(IF(R55="IN-07",'Assumptions &amp; Inputs'!$D$66,AG55))*AM55)*AS55)*AZ55)+IF(BD55="Yes",(((AJ55+(IF(R55="IN-07",'Assumptions &amp; Inputs'!$D$66,AG55))*AM55)*AS55)+AX55)*VLOOKUP("IN-34",'Assumptions &amp; Inputs'!$A$31:$F$69,4,FALSE),0),0)</f>
        <v>0</v>
      </c>
      <c r="BW55" s="4">
        <f>IF(BO55=1,((AK55+(IF(R55="IN-07",'Assumptions &amp; Inputs'!$E$66,AH55))*AN55)*AS55)+AY55+(((AK55+(IF(R55="IN-07",'Assumptions &amp; Inputs'!$E$66,AH55))*AN55)*AS55)*AZ55)+IF(BD55="Yes",(((AK55+(IF(R55="IN-07",'Assumptions &amp; Inputs'!$E$66,AH55))*AN55)*AS55)+AY55)*VLOOKUP("IN-34",'Assumptions &amp; Inputs'!$A$31:$F$69,5,FALSE),0),0)</f>
        <v>0</v>
      </c>
      <c r="BX55" s="4">
        <f>IF(BP55=1,((AI55+(IF(R55="IN-07",'Assumptions &amp; Inputs'!$C$66,AF55))*AL55)*AS55)+AW55+(((AI55+(IF(R55="IN-07",'Assumptions &amp; Inputs'!$C$66,AF55))*AL55)*AS55)*AZ55)+IF(BD55="Yes",(((AI55+(IF(R55="IN-07",'Assumptions &amp; Inputs'!$C$66,AF55))*AL55)*AS55)+AW55)*VLOOKUP("IN-34",'Assumptions &amp; Inputs'!$A$31:$F$69,3,FALSE),0),0)</f>
        <v>0</v>
      </c>
      <c r="BY55" s="4">
        <f>IF(BP55=1,((AJ55+(IF(R55="IN-07",'Assumptions &amp; Inputs'!$D$66,AG55))*AM55)*AS55)+AX55+(((AJ55+(IF(R55="IN-07",'Assumptions &amp; Inputs'!$D$66,AG55))*AM55)*AS55)*AZ55)+IF(BD55="Yes",(((AJ55+(IF(R55="IN-07",'Assumptions &amp; Inputs'!$D$66,AG55))*AM55)*AS55)+AX55)*VLOOKUP("IN-34",'Assumptions &amp; Inputs'!$A$31:$F$69,4,FALSE),0),0)</f>
        <v>0</v>
      </c>
      <c r="BZ55" s="4">
        <f>IF(BP55=1,((AK55+(IF(R55="IN-07",'Assumptions &amp; Inputs'!$E$66,AH55))*AN55)*AS55)+AY55+(((AK55+(IF(R55="IN-07",'Assumptions &amp; Inputs'!$E$66,AH55))*AN55)*AS55)*AZ55)+IF(BD55="Yes",(((AK55+(IF(R55="IN-07",'Assumptions &amp; Inputs'!$E$66,AH55))*AN55)*AS55)+AY55)*VLOOKUP("IN-34",'Assumptions &amp; Inputs'!$A$31:$F$69,5,FALSE),0),0)</f>
        <v>0</v>
      </c>
      <c r="CA55" s="4">
        <f>IF(BQ55=1,((AI55+(IF(R55="IN-07",'Assumptions &amp; Inputs'!$C$65,AF55))*AL55)*AS55)+AW55+(((AI55+(IF(R55="IN-07",'Assumptions &amp; Inputs'!$C$65,AF55))*AL55)*AS55)*AZ55)+IF(BD55="Yes",(((AI55+(IF(R55="IN-07",'Assumptions &amp; Inputs'!$C$65,AF55))*AL55)*AS55)+AW55)*VLOOKUP("IN-34",'Assumptions &amp; Inputs'!$A$31:$F$69,3,FALSE),0),0)</f>
        <v>5544.5249999999996</v>
      </c>
      <c r="CB55" s="4">
        <f>IF(BQ55=1,((AJ55+(IF(R55="IN-07",'Assumptions &amp; Inputs'!$D$65,AG55))*AM55)*AS55)+AX55+(((AJ55+(IF(R55="IN-07",'Assumptions &amp; Inputs'!$D$65,AG55))*AM55)*AS55)*AZ55)+IF(BD55="Yes",(((AJ55+(IF(R55="IN-07",'Assumptions &amp; Inputs'!$D$65,AG55))*AM55)*AS55)+AX55)*VLOOKUP("IN-34",'Assumptions &amp; Inputs'!$A$31:$F$69,4,FALSE),0),0)</f>
        <v>17955.5</v>
      </c>
      <c r="CC55" s="4">
        <f>IF(BQ55=1,((AK55+(IF(R55="IN-07",'Assumptions &amp; Inputs'!$E$65,AH55))*AN55)*AS55)+AY55+(((AK55+(IF(R55="IN-07",'Assumptions &amp; Inputs'!$E$65,AH55))*AN55)*AS55)*AZ55)+IF(BD55="Yes",(((AK55+(IF(R55="IN-07",'Assumptions &amp; Inputs'!$E$65,AH55))*AN55)*AS55)+AY55)*VLOOKUP("IN-34",'Assumptions &amp; Inputs'!$A$31:$F$69,5,FALSE),0),0)</f>
        <v>52597.4</v>
      </c>
      <c r="CD55" s="4">
        <f>IF(BR55=1,((AI55+(IF(R55="IN-07",'Assumptions &amp; Inputs'!$C$65,AF55))*AL55)*AS55)+AW55+(((AI55+(IF(R55="IN-07",'Assumptions &amp; Inputs'!$C$65,AF55))*AL55)*AS55)*AZ55)+IF(BD55="Yes",(((AI55+(IF(R55="IN-07",'Assumptions &amp; Inputs'!$C$65,AF55))*AL55)*AS55)+AW55)*VLOOKUP("IN-34",'Assumptions &amp; Inputs'!$A$31:$F$69,3,FALSE),0),0)</f>
        <v>5544.5249999999996</v>
      </c>
      <c r="CE55" s="4">
        <f>IF(BR55=1,((AJ55+(IF(R55="IN-07",'Assumptions &amp; Inputs'!$D$65,AG55))*AM55)*AS55)+AX55+(((AJ55+(IF(R55="IN-07",'Assumptions &amp; Inputs'!$D$65,AG55))*AM55)*AS55)*AZ55)+IF(BD55="Yes",(((AJ55+(IF(R55="IN-07",'Assumptions &amp; Inputs'!$D$65,AG55))*AM55)*AS55)+AX55)*VLOOKUP("IN-34",'Assumptions &amp; Inputs'!$A$31:$F$69,4,FALSE),0),0)</f>
        <v>17955.5</v>
      </c>
      <c r="CF55" s="4">
        <f>IF(BR55=1,((AK55+(IF(R55="IN-07",'Assumptions &amp; Inputs'!$E$65,AH55))*AN55)*AS55)+AY55+(((AK55+(IF(R55="IN-07",'Assumptions &amp; Inputs'!$E$65,AH55))*AN55)*AS55)*AZ55)+IF(BD55="Yes",(((AK55+(IF(R55="IN-07",'Assumptions &amp; Inputs'!$E$65,AH55))*AN55)*AS55)+AY55)*VLOOKUP("IN-34",'Assumptions &amp; Inputs'!$A$31:$F$69,5,FALSE),0),0)</f>
        <v>52597.4</v>
      </c>
      <c r="CG55" s="4">
        <f>IF(BS55=1,((AI55+(IF(R55="IN-07",0,AF55))*AL55)*AS55)+AW55+(((AI55+(IF(R55="IN-07",0,AF55))*AL55)*AS55)*AZ55)+IF(BD55="Yes",(((AI55+(IF(R55="IN-07",0,AF55))*AL55)*AS55)+AW55)*VLOOKUP("IN-34",'Assumptions &amp; Inputs'!$A$31:$F$69,3,FALSE),0),0)</f>
        <v>5544.5249999999996</v>
      </c>
      <c r="CH55" s="4">
        <f>IF(BS55=1,((AJ55+(IF(R55="IN-07",0,AG55))*AM55)*AS55)+AX55+(((AJ55+(IF(R55="IN-07",0,AG55))*AM55)*AS55)*AZ55)+IF(BD55="Yes",(((AJ55+(IF(R55="IN-07",0,AG55))*AM55)*AS55)+AX55)*VLOOKUP("IN-34",'Assumptions &amp; Inputs'!$A$31:$F$69,4,FALSE),0),0)</f>
        <v>17955.5</v>
      </c>
      <c r="CI55" s="4">
        <f>IF(BS55=1,((AK55+(IF(R55="IN-07",0,AH55))*AN55)*AS55)+AY55+(((AK55+(IF(R55="IN-07",0,AH55))*AN55)*AS55)*AZ55)+IF(BD55="Yes",(((AK55+(IF(R55="IN-07",0,AH55))*AN55)*AS55)+AY55)*VLOOKUP("IN-34",'Assumptions &amp; Inputs'!$A$31:$F$69,5,FALSE),0),0)</f>
        <v>52597.4</v>
      </c>
      <c r="CJ55" s="4">
        <f>IF(BT55=1,((AI55+(IF(R55="IN-07",0,AF55))*AL55)*AS55)+AW55+(((AI55+(IF(R55="IN-07",0,AF55))*AL55)*AS55)*AZ55)+IF(BD55="Yes",(((AI55+(IF(R55="IN-07",0,AF55))*AL55)*AS55)+AW55)*VLOOKUP("IN-34",'Assumptions &amp; Inputs'!$A$31:$F$69,3,FALSE),0),0)</f>
        <v>5544.5249999999996</v>
      </c>
      <c r="CK55" s="4">
        <f>IF(BT55=1,((AJ55+(IF(R55="IN-07",0,AG55))*AM55)*AS55)+AX55+(((AJ55+(IF(R55="IN-07",0,AG55))*AM55)*AS55)*AZ55)+IF(BD55="Yes",(((AJ55+(IF(R55="IN-07",0,AG55))*AM55)*AS55)+AX55)*VLOOKUP("IN-34",'Assumptions &amp; Inputs'!$A$31:$F$69,4,FALSE),0),0)</f>
        <v>17955.5</v>
      </c>
      <c r="CL55" s="4">
        <f>IF(BT55=1,((AK55+(IF(R55="IN-07",0,AH55))*AN55)*AS55)+AY55+(((AK55+(IF(R55="IN-07",0,AH55))*AN55)*AS55)*AZ55)+IF(BD55="Yes",(((AK55+(IF(R55="IN-07",0,AH55))*AN55)*AS55)+AY55)*VLOOKUP("IN-34",'Assumptions &amp; Inputs'!$A$31:$F$69,5,FALSE),0),0)</f>
        <v>52597.4</v>
      </c>
    </row>
    <row r="56" spans="1:90" ht="43.5" x14ac:dyDescent="0.35">
      <c r="A56" s="51" t="s">
        <v>1188</v>
      </c>
      <c r="B56" s="51" t="s">
        <v>196</v>
      </c>
      <c r="C56" s="51" t="s">
        <v>49</v>
      </c>
      <c r="D56" s="51" t="s">
        <v>56</v>
      </c>
      <c r="E56" s="51" t="s">
        <v>1189</v>
      </c>
      <c r="F56" s="51" t="s">
        <v>1190</v>
      </c>
      <c r="G56" s="51" t="s">
        <v>1191</v>
      </c>
      <c r="H56" s="51" t="s">
        <v>1192</v>
      </c>
      <c r="I56" s="51" t="s">
        <v>49</v>
      </c>
      <c r="J56" s="51" t="s">
        <v>1193</v>
      </c>
      <c r="K56" s="51" t="s">
        <v>1135</v>
      </c>
      <c r="L56" s="51" t="s">
        <v>49</v>
      </c>
      <c r="M56" s="51" t="s">
        <v>532</v>
      </c>
      <c r="N56" s="51" t="s">
        <v>160</v>
      </c>
      <c r="O56" s="51" t="s">
        <v>813</v>
      </c>
      <c r="P56" s="51" t="s">
        <v>593</v>
      </c>
      <c r="Q56" s="51" t="s">
        <v>1194</v>
      </c>
      <c r="R56" s="51" t="s">
        <v>357</v>
      </c>
      <c r="S56" s="51" t="s">
        <v>1003</v>
      </c>
      <c r="T56" s="51" t="s">
        <v>878</v>
      </c>
      <c r="U56" s="51" t="s">
        <v>1195</v>
      </c>
      <c r="V56" s="51" t="s">
        <v>1126</v>
      </c>
      <c r="W56" s="51" t="s">
        <v>850</v>
      </c>
      <c r="X56" s="51" t="s">
        <v>1185</v>
      </c>
      <c r="Y56" s="51" t="s">
        <v>202</v>
      </c>
      <c r="Z56" s="51" t="s">
        <v>601</v>
      </c>
      <c r="AA56" s="51" t="s">
        <v>1115</v>
      </c>
      <c r="AB56" s="51" t="s">
        <v>36</v>
      </c>
      <c r="AC56" s="51" t="s">
        <v>1005</v>
      </c>
      <c r="AD56" s="51" t="s">
        <v>1006</v>
      </c>
      <c r="AE56" s="20">
        <f>IF(ISNUMBER(SEARCH('Scenario Definitions'!$C$5,N56)),1,0)</f>
        <v>1</v>
      </c>
      <c r="AF56" s="20">
        <f>IFERROR(VLOOKUP(R56,'Assumptions &amp; Inputs'!$A$31:$F$69,3,FALSE),0)</f>
        <v>1</v>
      </c>
      <c r="AG56" s="20">
        <f>IFERROR(VLOOKUP(R56,'Assumptions &amp; Inputs'!$A$31:$F$69,4,FALSE),0)</f>
        <v>4</v>
      </c>
      <c r="AH56" s="21">
        <f>IFERROR(VLOOKUP(R56,'Assumptions &amp; Inputs'!$A$31:$F$69,5,FALSE),0)</f>
        <v>16</v>
      </c>
      <c r="AI56" s="11">
        <v>0</v>
      </c>
      <c r="AJ56" s="11">
        <v>0</v>
      </c>
      <c r="AK56" s="11">
        <v>0</v>
      </c>
      <c r="AL56" s="11">
        <v>18.2</v>
      </c>
      <c r="AM56" s="11">
        <v>24.3</v>
      </c>
      <c r="AN56" s="11">
        <v>36.5</v>
      </c>
      <c r="AO56" s="38">
        <f t="shared" si="18"/>
        <v>18.2</v>
      </c>
      <c r="AP56" s="20">
        <f t="shared" si="19"/>
        <v>97.2</v>
      </c>
      <c r="AQ56" s="21">
        <f t="shared" si="20"/>
        <v>584</v>
      </c>
      <c r="AR56" s="58" t="s">
        <v>426</v>
      </c>
      <c r="AS56" s="34">
        <f>IFERROR(VLOOKUP(AR56,'Assumptions &amp; Inputs'!$A$73:$I$100,9,FALSE),0)</f>
        <v>105</v>
      </c>
      <c r="AT56" s="28">
        <f t="shared" si="21"/>
        <v>1911</v>
      </c>
      <c r="AU56" s="28">
        <f t="shared" si="22"/>
        <v>10206</v>
      </c>
      <c r="AV56" s="29">
        <f t="shared" si="23"/>
        <v>61320</v>
      </c>
      <c r="AW56" s="57">
        <v>10000</v>
      </c>
      <c r="AX56" s="57">
        <v>30000</v>
      </c>
      <c r="AY56" s="57">
        <v>80000</v>
      </c>
      <c r="AZ56" s="34">
        <f>IFERROR(VLOOKUP(C56,'Assumptions &amp; Inputs'!$A$104:$B$107,2,FALSE),0)</f>
        <v>0.3</v>
      </c>
      <c r="BA56" s="28">
        <f t="shared" si="24"/>
        <v>573.29999999999995</v>
      </c>
      <c r="BB56" s="28">
        <f t="shared" si="25"/>
        <v>3061.7999999999997</v>
      </c>
      <c r="BC56" s="29">
        <f t="shared" si="26"/>
        <v>18396</v>
      </c>
      <c r="BD56" s="57" t="s">
        <v>209</v>
      </c>
      <c r="BE56" s="34">
        <f>IF(BD56="Yes",(AT56+AW56)*VLOOKUP("IN-34",'Assumptions &amp; Inputs'!$A$31:$F$69,3,FALSE),0)</f>
        <v>595.55000000000007</v>
      </c>
      <c r="BF56" s="28">
        <f>IF(BD56="Yes",(AU56+AX56)*VLOOKUP("IN-34",'Assumptions &amp; Inputs'!$A$31:$F$69,4,FALSE),0)</f>
        <v>3015.45</v>
      </c>
      <c r="BG56" s="28">
        <f>IF(BD56="Yes",(AV56+AY56)*VLOOKUP("IN-34",'Assumptions &amp; Inputs'!$A$31:$F$69,5,FALSE),0)</f>
        <v>21198</v>
      </c>
      <c r="BH56" s="28">
        <f t="shared" si="27"/>
        <v>13079.849999999999</v>
      </c>
      <c r="BI56" s="28">
        <f t="shared" si="28"/>
        <v>46283.25</v>
      </c>
      <c r="BJ56" s="29">
        <f t="shared" si="29"/>
        <v>180914</v>
      </c>
      <c r="BK56" s="58" t="s">
        <v>548</v>
      </c>
      <c r="BL56" s="58" t="s">
        <v>549</v>
      </c>
      <c r="BM56" s="58" t="s">
        <v>1115</v>
      </c>
      <c r="BN56" s="58" t="s">
        <v>550</v>
      </c>
      <c r="BO56" s="5">
        <f t="shared" si="30"/>
        <v>0</v>
      </c>
      <c r="BP56" s="5">
        <f t="shared" si="31"/>
        <v>0</v>
      </c>
      <c r="BQ56" s="5">
        <f t="shared" si="32"/>
        <v>1</v>
      </c>
      <c r="BR56" s="5">
        <f t="shared" si="33"/>
        <v>1</v>
      </c>
      <c r="BS56" s="5">
        <f t="shared" si="34"/>
        <v>1</v>
      </c>
      <c r="BT56" s="5">
        <f t="shared" si="35"/>
        <v>1</v>
      </c>
      <c r="BU56" s="4">
        <f>IF(BO56=1,((AI56+(IF(R56="IN-07",'Assumptions &amp; Inputs'!$C$66,AF56))*AL56)*AS56)+AW56+(((AI56+(IF(R56="IN-07",'Assumptions &amp; Inputs'!$C$66,AF56))*AL56)*AS56)*AZ56)+IF(BD56="Yes",(((AI56+(IF(R56="IN-07",'Assumptions &amp; Inputs'!$C$66,AF56))*AL56)*AS56)+AW56)*VLOOKUP("IN-34",'Assumptions &amp; Inputs'!$A$31:$F$69,3,FALSE),0),0)</f>
        <v>0</v>
      </c>
      <c r="BV56" s="4">
        <f>IF(BO56=1,((AJ56+(IF(R56="IN-07",'Assumptions &amp; Inputs'!$D$66,AG56))*AM56)*AS56)+AX56+(((AJ56+(IF(R56="IN-07",'Assumptions &amp; Inputs'!$D$66,AG56))*AM56)*AS56)*AZ56)+IF(BD56="Yes",(((AJ56+(IF(R56="IN-07",'Assumptions &amp; Inputs'!$D$66,AG56))*AM56)*AS56)+AX56)*VLOOKUP("IN-34",'Assumptions &amp; Inputs'!$A$31:$F$69,4,FALSE),0),0)</f>
        <v>0</v>
      </c>
      <c r="BW56" s="4">
        <f>IF(BO56=1,((AK56+(IF(R56="IN-07",'Assumptions &amp; Inputs'!$E$66,AH56))*AN56)*AS56)+AY56+(((AK56+(IF(R56="IN-07",'Assumptions &amp; Inputs'!$E$66,AH56))*AN56)*AS56)*AZ56)+IF(BD56="Yes",(((AK56+(IF(R56="IN-07",'Assumptions &amp; Inputs'!$E$66,AH56))*AN56)*AS56)+AY56)*VLOOKUP("IN-34",'Assumptions &amp; Inputs'!$A$31:$F$69,5,FALSE),0),0)</f>
        <v>0</v>
      </c>
      <c r="BX56" s="4">
        <f>IF(BP56=1,((AI56+(IF(R56="IN-07",'Assumptions &amp; Inputs'!$C$66,AF56))*AL56)*AS56)+AW56+(((AI56+(IF(R56="IN-07",'Assumptions &amp; Inputs'!$C$66,AF56))*AL56)*AS56)*AZ56)+IF(BD56="Yes",(((AI56+(IF(R56="IN-07",'Assumptions &amp; Inputs'!$C$66,AF56))*AL56)*AS56)+AW56)*VLOOKUP("IN-34",'Assumptions &amp; Inputs'!$A$31:$F$69,3,FALSE),0),0)</f>
        <v>0</v>
      </c>
      <c r="BY56" s="4">
        <f>IF(BP56=1,((AJ56+(IF(R56="IN-07",'Assumptions &amp; Inputs'!$D$66,AG56))*AM56)*AS56)+AX56+(((AJ56+(IF(R56="IN-07",'Assumptions &amp; Inputs'!$D$66,AG56))*AM56)*AS56)*AZ56)+IF(BD56="Yes",(((AJ56+(IF(R56="IN-07",'Assumptions &amp; Inputs'!$D$66,AG56))*AM56)*AS56)+AX56)*VLOOKUP("IN-34",'Assumptions &amp; Inputs'!$A$31:$F$69,4,FALSE),0),0)</f>
        <v>0</v>
      </c>
      <c r="BZ56" s="4">
        <f>IF(BP56=1,((AK56+(IF(R56="IN-07",'Assumptions &amp; Inputs'!$E$66,AH56))*AN56)*AS56)+AY56+(((AK56+(IF(R56="IN-07",'Assumptions &amp; Inputs'!$E$66,AH56))*AN56)*AS56)*AZ56)+IF(BD56="Yes",(((AK56+(IF(R56="IN-07",'Assumptions &amp; Inputs'!$E$66,AH56))*AN56)*AS56)+AY56)*VLOOKUP("IN-34",'Assumptions &amp; Inputs'!$A$31:$F$69,5,FALSE),0),0)</f>
        <v>0</v>
      </c>
      <c r="CA56" s="4">
        <f>IF(BQ56=1,((AI56+(IF(R56="IN-07",'Assumptions &amp; Inputs'!$C$65,AF56))*AL56)*AS56)+AW56+(((AI56+(IF(R56="IN-07",'Assumptions &amp; Inputs'!$C$65,AF56))*AL56)*AS56)*AZ56)+IF(BD56="Yes",(((AI56+(IF(R56="IN-07",'Assumptions &amp; Inputs'!$C$65,AF56))*AL56)*AS56)+AW56)*VLOOKUP("IN-34",'Assumptions &amp; Inputs'!$A$31:$F$69,3,FALSE),0),0)</f>
        <v>13079.849999999999</v>
      </c>
      <c r="CB56" s="4">
        <f>IF(BQ56=1,((AJ56+(IF(R56="IN-07",'Assumptions &amp; Inputs'!$D$65,AG56))*AM56)*AS56)+AX56+(((AJ56+(IF(R56="IN-07",'Assumptions &amp; Inputs'!$D$65,AG56))*AM56)*AS56)*AZ56)+IF(BD56="Yes",(((AJ56+(IF(R56="IN-07",'Assumptions &amp; Inputs'!$D$65,AG56))*AM56)*AS56)+AX56)*VLOOKUP("IN-34",'Assumptions &amp; Inputs'!$A$31:$F$69,4,FALSE),0),0)</f>
        <v>46283.25</v>
      </c>
      <c r="CC56" s="4">
        <f>IF(BQ56=1,((AK56+(IF(R56="IN-07",'Assumptions &amp; Inputs'!$E$65,AH56))*AN56)*AS56)+AY56+(((AK56+(IF(R56="IN-07",'Assumptions &amp; Inputs'!$E$65,AH56))*AN56)*AS56)*AZ56)+IF(BD56="Yes",(((AK56+(IF(R56="IN-07",'Assumptions &amp; Inputs'!$E$65,AH56))*AN56)*AS56)+AY56)*VLOOKUP("IN-34",'Assumptions &amp; Inputs'!$A$31:$F$69,5,FALSE),0),0)</f>
        <v>180914</v>
      </c>
      <c r="CD56" s="4">
        <f>IF(BR56=1,((AI56+(IF(R56="IN-07",'Assumptions &amp; Inputs'!$C$65,AF56))*AL56)*AS56)+AW56+(((AI56+(IF(R56="IN-07",'Assumptions &amp; Inputs'!$C$65,AF56))*AL56)*AS56)*AZ56)+IF(BD56="Yes",(((AI56+(IF(R56="IN-07",'Assumptions &amp; Inputs'!$C$65,AF56))*AL56)*AS56)+AW56)*VLOOKUP("IN-34",'Assumptions &amp; Inputs'!$A$31:$F$69,3,FALSE),0),0)</f>
        <v>13079.849999999999</v>
      </c>
      <c r="CE56" s="4">
        <f>IF(BR56=1,((AJ56+(IF(R56="IN-07",'Assumptions &amp; Inputs'!$D$65,AG56))*AM56)*AS56)+AX56+(((AJ56+(IF(R56="IN-07",'Assumptions &amp; Inputs'!$D$65,AG56))*AM56)*AS56)*AZ56)+IF(BD56="Yes",(((AJ56+(IF(R56="IN-07",'Assumptions &amp; Inputs'!$D$65,AG56))*AM56)*AS56)+AX56)*VLOOKUP("IN-34",'Assumptions &amp; Inputs'!$A$31:$F$69,4,FALSE),0),0)</f>
        <v>46283.25</v>
      </c>
      <c r="CF56" s="4">
        <f>IF(BR56=1,((AK56+(IF(R56="IN-07",'Assumptions &amp; Inputs'!$E$65,AH56))*AN56)*AS56)+AY56+(((AK56+(IF(R56="IN-07",'Assumptions &amp; Inputs'!$E$65,AH56))*AN56)*AS56)*AZ56)+IF(BD56="Yes",(((AK56+(IF(R56="IN-07",'Assumptions &amp; Inputs'!$E$65,AH56))*AN56)*AS56)+AY56)*VLOOKUP("IN-34",'Assumptions &amp; Inputs'!$A$31:$F$69,5,FALSE),0),0)</f>
        <v>180914</v>
      </c>
      <c r="CG56" s="4">
        <f>IF(BS56=1,((AI56+(IF(R56="IN-07",0,AF56))*AL56)*AS56)+AW56+(((AI56+(IF(R56="IN-07",0,AF56))*AL56)*AS56)*AZ56)+IF(BD56="Yes",(((AI56+(IF(R56="IN-07",0,AF56))*AL56)*AS56)+AW56)*VLOOKUP("IN-34",'Assumptions &amp; Inputs'!$A$31:$F$69,3,FALSE),0),0)</f>
        <v>13079.849999999999</v>
      </c>
      <c r="CH56" s="4">
        <f>IF(BS56=1,((AJ56+(IF(R56="IN-07",0,AG56))*AM56)*AS56)+AX56+(((AJ56+(IF(R56="IN-07",0,AG56))*AM56)*AS56)*AZ56)+IF(BD56="Yes",(((AJ56+(IF(R56="IN-07",0,AG56))*AM56)*AS56)+AX56)*VLOOKUP("IN-34",'Assumptions &amp; Inputs'!$A$31:$F$69,4,FALSE),0),0)</f>
        <v>46283.25</v>
      </c>
      <c r="CI56" s="4">
        <f>IF(BS56=1,((AK56+(IF(R56="IN-07",0,AH56))*AN56)*AS56)+AY56+(((AK56+(IF(R56="IN-07",0,AH56))*AN56)*AS56)*AZ56)+IF(BD56="Yes",(((AK56+(IF(R56="IN-07",0,AH56))*AN56)*AS56)+AY56)*VLOOKUP("IN-34",'Assumptions &amp; Inputs'!$A$31:$F$69,5,FALSE),0),0)</f>
        <v>180914</v>
      </c>
      <c r="CJ56" s="4">
        <f>IF(BT56=1,((AI56+(IF(R56="IN-07",0,AF56))*AL56)*AS56)+AW56+(((AI56+(IF(R56="IN-07",0,AF56))*AL56)*AS56)*AZ56)+IF(BD56="Yes",(((AI56+(IF(R56="IN-07",0,AF56))*AL56)*AS56)+AW56)*VLOOKUP("IN-34",'Assumptions &amp; Inputs'!$A$31:$F$69,3,FALSE),0),0)</f>
        <v>13079.849999999999</v>
      </c>
      <c r="CK56" s="4">
        <f>IF(BT56=1,((AJ56+(IF(R56="IN-07",0,AG56))*AM56)*AS56)+AX56+(((AJ56+(IF(R56="IN-07",0,AG56))*AM56)*AS56)*AZ56)+IF(BD56="Yes",(((AJ56+(IF(R56="IN-07",0,AG56))*AM56)*AS56)+AX56)*VLOOKUP("IN-34",'Assumptions &amp; Inputs'!$A$31:$F$69,4,FALSE),0),0)</f>
        <v>46283.25</v>
      </c>
      <c r="CL56" s="4">
        <f>IF(BT56=1,((AK56+(IF(R56="IN-07",0,AH56))*AN56)*AS56)+AY56+(((AK56+(IF(R56="IN-07",0,AH56))*AN56)*AS56)*AZ56)+IF(BD56="Yes",(((AK56+(IF(R56="IN-07",0,AH56))*AN56)*AS56)+AY56)*VLOOKUP("IN-34",'Assumptions &amp; Inputs'!$A$31:$F$69,5,FALSE),0),0)</f>
        <v>180914</v>
      </c>
    </row>
    <row r="57" spans="1:90" ht="43.5" x14ac:dyDescent="0.35">
      <c r="A57" s="51" t="s">
        <v>1196</v>
      </c>
      <c r="B57" s="51" t="s">
        <v>1197</v>
      </c>
      <c r="C57" s="51" t="s">
        <v>49</v>
      </c>
      <c r="D57" s="51" t="s">
        <v>57</v>
      </c>
      <c r="E57" s="51" t="s">
        <v>1198</v>
      </c>
      <c r="F57" s="51" t="s">
        <v>1199</v>
      </c>
      <c r="G57" s="51" t="s">
        <v>1200</v>
      </c>
      <c r="H57" s="51" t="s">
        <v>1201</v>
      </c>
      <c r="I57" s="51" t="s">
        <v>49</v>
      </c>
      <c r="J57" s="51" t="s">
        <v>1202</v>
      </c>
      <c r="K57" s="51" t="s">
        <v>1203</v>
      </c>
      <c r="L57" s="51" t="s">
        <v>49</v>
      </c>
      <c r="M57" s="51" t="s">
        <v>532</v>
      </c>
      <c r="N57" s="51" t="s">
        <v>160</v>
      </c>
      <c r="O57" s="51" t="s">
        <v>813</v>
      </c>
      <c r="P57" s="51" t="s">
        <v>593</v>
      </c>
      <c r="Q57" s="51" t="s">
        <v>1204</v>
      </c>
      <c r="R57" s="51" t="s">
        <v>301</v>
      </c>
      <c r="S57" s="51" t="s">
        <v>1205</v>
      </c>
      <c r="T57" s="51" t="s">
        <v>1029</v>
      </c>
      <c r="U57" s="51" t="s">
        <v>1206</v>
      </c>
      <c r="V57" s="51" t="s">
        <v>1126</v>
      </c>
      <c r="W57" s="51" t="s">
        <v>993</v>
      </c>
      <c r="X57" s="51" t="s">
        <v>1207</v>
      </c>
      <c r="Y57" s="51" t="s">
        <v>748</v>
      </c>
      <c r="Z57" s="51" t="s">
        <v>543</v>
      </c>
      <c r="AA57" s="51" t="s">
        <v>1115</v>
      </c>
      <c r="AB57" s="51" t="s">
        <v>36</v>
      </c>
      <c r="AC57" s="51" t="s">
        <v>1208</v>
      </c>
      <c r="AD57" s="51" t="s">
        <v>1033</v>
      </c>
      <c r="AE57" s="20">
        <f>IF(ISNUMBER(SEARCH('Scenario Definitions'!$C$5,N57)),1,0)</f>
        <v>1</v>
      </c>
      <c r="AF57" s="20">
        <f>IFERROR(VLOOKUP(R57,'Assumptions &amp; Inputs'!$A$31:$F$69,3,FALSE),0)</f>
        <v>5</v>
      </c>
      <c r="AG57" s="20">
        <f>IFERROR(VLOOKUP(R57,'Assumptions &amp; Inputs'!$A$31:$F$69,4,FALSE),0)</f>
        <v>10</v>
      </c>
      <c r="AH57" s="21">
        <f>IFERROR(VLOOKUP(R57,'Assumptions &amp; Inputs'!$A$31:$F$69,5,FALSE),0)</f>
        <v>20</v>
      </c>
      <c r="AI57" s="11">
        <v>0</v>
      </c>
      <c r="AJ57" s="11">
        <v>0</v>
      </c>
      <c r="AK57" s="11">
        <v>0</v>
      </c>
      <c r="AL57" s="11">
        <v>8.1</v>
      </c>
      <c r="AM57" s="11">
        <v>10.8</v>
      </c>
      <c r="AN57" s="11">
        <v>16.2</v>
      </c>
      <c r="AO57" s="38">
        <f t="shared" si="18"/>
        <v>40.5</v>
      </c>
      <c r="AP57" s="20">
        <f t="shared" si="19"/>
        <v>108</v>
      </c>
      <c r="AQ57" s="21">
        <f t="shared" si="20"/>
        <v>324</v>
      </c>
      <c r="AR57" s="58" t="s">
        <v>426</v>
      </c>
      <c r="AS57" s="34">
        <f>IFERROR(VLOOKUP(AR57,'Assumptions &amp; Inputs'!$A$73:$I$100,9,FALSE),0)</f>
        <v>105</v>
      </c>
      <c r="AT57" s="28">
        <f t="shared" si="21"/>
        <v>4252.5</v>
      </c>
      <c r="AU57" s="28">
        <f t="shared" si="22"/>
        <v>11340</v>
      </c>
      <c r="AV57" s="29">
        <f t="shared" si="23"/>
        <v>34020</v>
      </c>
      <c r="AW57" s="57">
        <v>0</v>
      </c>
      <c r="AX57" s="57">
        <v>0</v>
      </c>
      <c r="AY57" s="57">
        <v>0</v>
      </c>
      <c r="AZ57" s="34">
        <f>IFERROR(VLOOKUP(C57,'Assumptions &amp; Inputs'!$A$104:$B$107,2,FALSE),0)</f>
        <v>0.3</v>
      </c>
      <c r="BA57" s="28">
        <f t="shared" si="24"/>
        <v>1275.75</v>
      </c>
      <c r="BB57" s="28">
        <f t="shared" si="25"/>
        <v>3402</v>
      </c>
      <c r="BC57" s="29">
        <f t="shared" si="26"/>
        <v>10206</v>
      </c>
      <c r="BD57" s="57" t="s">
        <v>209</v>
      </c>
      <c r="BE57" s="34">
        <f>IF(BD57="Yes",(AT57+AW57)*VLOOKUP("IN-34",'Assumptions &amp; Inputs'!$A$31:$F$69,3,FALSE),0)</f>
        <v>212.625</v>
      </c>
      <c r="BF57" s="28">
        <f>IF(BD57="Yes",(AU57+AX57)*VLOOKUP("IN-34",'Assumptions &amp; Inputs'!$A$31:$F$69,4,FALSE),0)</f>
        <v>850.5</v>
      </c>
      <c r="BG57" s="28">
        <f>IF(BD57="Yes",(AV57+AY57)*VLOOKUP("IN-34",'Assumptions &amp; Inputs'!$A$31:$F$69,5,FALSE),0)</f>
        <v>5103</v>
      </c>
      <c r="BH57" s="28">
        <f t="shared" si="27"/>
        <v>5740.875</v>
      </c>
      <c r="BI57" s="28">
        <f t="shared" si="28"/>
        <v>15592.5</v>
      </c>
      <c r="BJ57" s="29">
        <f t="shared" si="29"/>
        <v>49329</v>
      </c>
      <c r="BK57" s="58" t="s">
        <v>548</v>
      </c>
      <c r="BL57" s="58" t="s">
        <v>549</v>
      </c>
      <c r="BM57" s="58" t="s">
        <v>1115</v>
      </c>
      <c r="BN57" s="58" t="s">
        <v>550</v>
      </c>
      <c r="BO57" s="5">
        <f t="shared" si="30"/>
        <v>0</v>
      </c>
      <c r="BP57" s="5">
        <f t="shared" si="31"/>
        <v>0</v>
      </c>
      <c r="BQ57" s="5">
        <f t="shared" si="32"/>
        <v>1</v>
      </c>
      <c r="BR57" s="5">
        <f t="shared" si="33"/>
        <v>1</v>
      </c>
      <c r="BS57" s="5">
        <f t="shared" si="34"/>
        <v>1</v>
      </c>
      <c r="BT57" s="5">
        <f t="shared" si="35"/>
        <v>1</v>
      </c>
      <c r="BU57" s="4">
        <f>IF(BO57=1,((AI57+(IF(R57="IN-07",'Assumptions &amp; Inputs'!$C$66,AF57))*AL57)*AS57)+AW57+(((AI57+(IF(R57="IN-07",'Assumptions &amp; Inputs'!$C$66,AF57))*AL57)*AS57)*AZ57)+IF(BD57="Yes",(((AI57+(IF(R57="IN-07",'Assumptions &amp; Inputs'!$C$66,AF57))*AL57)*AS57)+AW57)*VLOOKUP("IN-34",'Assumptions &amp; Inputs'!$A$31:$F$69,3,FALSE),0),0)</f>
        <v>0</v>
      </c>
      <c r="BV57" s="4">
        <f>IF(BO57=1,((AJ57+(IF(R57="IN-07",'Assumptions &amp; Inputs'!$D$66,AG57))*AM57)*AS57)+AX57+(((AJ57+(IF(R57="IN-07",'Assumptions &amp; Inputs'!$D$66,AG57))*AM57)*AS57)*AZ57)+IF(BD57="Yes",(((AJ57+(IF(R57="IN-07",'Assumptions &amp; Inputs'!$D$66,AG57))*AM57)*AS57)+AX57)*VLOOKUP("IN-34",'Assumptions &amp; Inputs'!$A$31:$F$69,4,FALSE),0),0)</f>
        <v>0</v>
      </c>
      <c r="BW57" s="4">
        <f>IF(BO57=1,((AK57+(IF(R57="IN-07",'Assumptions &amp; Inputs'!$E$66,AH57))*AN57)*AS57)+AY57+(((AK57+(IF(R57="IN-07",'Assumptions &amp; Inputs'!$E$66,AH57))*AN57)*AS57)*AZ57)+IF(BD57="Yes",(((AK57+(IF(R57="IN-07",'Assumptions &amp; Inputs'!$E$66,AH57))*AN57)*AS57)+AY57)*VLOOKUP("IN-34",'Assumptions &amp; Inputs'!$A$31:$F$69,5,FALSE),0),0)</f>
        <v>0</v>
      </c>
      <c r="BX57" s="4">
        <f>IF(BP57=1,((AI57+(IF(R57="IN-07",'Assumptions &amp; Inputs'!$C$66,AF57))*AL57)*AS57)+AW57+(((AI57+(IF(R57="IN-07",'Assumptions &amp; Inputs'!$C$66,AF57))*AL57)*AS57)*AZ57)+IF(BD57="Yes",(((AI57+(IF(R57="IN-07",'Assumptions &amp; Inputs'!$C$66,AF57))*AL57)*AS57)+AW57)*VLOOKUP("IN-34",'Assumptions &amp; Inputs'!$A$31:$F$69,3,FALSE),0),0)</f>
        <v>0</v>
      </c>
      <c r="BY57" s="4">
        <f>IF(BP57=1,((AJ57+(IF(R57="IN-07",'Assumptions &amp; Inputs'!$D$66,AG57))*AM57)*AS57)+AX57+(((AJ57+(IF(R57="IN-07",'Assumptions &amp; Inputs'!$D$66,AG57))*AM57)*AS57)*AZ57)+IF(BD57="Yes",(((AJ57+(IF(R57="IN-07",'Assumptions &amp; Inputs'!$D$66,AG57))*AM57)*AS57)+AX57)*VLOOKUP("IN-34",'Assumptions &amp; Inputs'!$A$31:$F$69,4,FALSE),0),0)</f>
        <v>0</v>
      </c>
      <c r="BZ57" s="4">
        <f>IF(BP57=1,((AK57+(IF(R57="IN-07",'Assumptions &amp; Inputs'!$E$66,AH57))*AN57)*AS57)+AY57+(((AK57+(IF(R57="IN-07",'Assumptions &amp; Inputs'!$E$66,AH57))*AN57)*AS57)*AZ57)+IF(BD57="Yes",(((AK57+(IF(R57="IN-07",'Assumptions &amp; Inputs'!$E$66,AH57))*AN57)*AS57)+AY57)*VLOOKUP("IN-34",'Assumptions &amp; Inputs'!$A$31:$F$69,5,FALSE),0),0)</f>
        <v>0</v>
      </c>
      <c r="CA57" s="4">
        <f>IF(BQ57=1,((AI57+(IF(R57="IN-07",'Assumptions &amp; Inputs'!$C$65,AF57))*AL57)*AS57)+AW57+(((AI57+(IF(R57="IN-07",'Assumptions &amp; Inputs'!$C$65,AF57))*AL57)*AS57)*AZ57)+IF(BD57="Yes",(((AI57+(IF(R57="IN-07",'Assumptions &amp; Inputs'!$C$65,AF57))*AL57)*AS57)+AW57)*VLOOKUP("IN-34",'Assumptions &amp; Inputs'!$A$31:$F$69,3,FALSE),0),0)</f>
        <v>5740.875</v>
      </c>
      <c r="CB57" s="4">
        <f>IF(BQ57=1,((AJ57+(IF(R57="IN-07",'Assumptions &amp; Inputs'!$D$65,AG57))*AM57)*AS57)+AX57+(((AJ57+(IF(R57="IN-07",'Assumptions &amp; Inputs'!$D$65,AG57))*AM57)*AS57)*AZ57)+IF(BD57="Yes",(((AJ57+(IF(R57="IN-07",'Assumptions &amp; Inputs'!$D$65,AG57))*AM57)*AS57)+AX57)*VLOOKUP("IN-34",'Assumptions &amp; Inputs'!$A$31:$F$69,4,FALSE),0),0)</f>
        <v>15592.5</v>
      </c>
      <c r="CC57" s="4">
        <f>IF(BQ57=1,((AK57+(IF(R57="IN-07",'Assumptions &amp; Inputs'!$E$65,AH57))*AN57)*AS57)+AY57+(((AK57+(IF(R57="IN-07",'Assumptions &amp; Inputs'!$E$65,AH57))*AN57)*AS57)*AZ57)+IF(BD57="Yes",(((AK57+(IF(R57="IN-07",'Assumptions &amp; Inputs'!$E$65,AH57))*AN57)*AS57)+AY57)*VLOOKUP("IN-34",'Assumptions &amp; Inputs'!$A$31:$F$69,5,FALSE),0),0)</f>
        <v>49329</v>
      </c>
      <c r="CD57" s="4">
        <f>IF(BR57=1,((AI57+(IF(R57="IN-07",'Assumptions &amp; Inputs'!$C$65,AF57))*AL57)*AS57)+AW57+(((AI57+(IF(R57="IN-07",'Assumptions &amp; Inputs'!$C$65,AF57))*AL57)*AS57)*AZ57)+IF(BD57="Yes",(((AI57+(IF(R57="IN-07",'Assumptions &amp; Inputs'!$C$65,AF57))*AL57)*AS57)+AW57)*VLOOKUP("IN-34",'Assumptions &amp; Inputs'!$A$31:$F$69,3,FALSE),0),0)</f>
        <v>5740.875</v>
      </c>
      <c r="CE57" s="4">
        <f>IF(BR57=1,((AJ57+(IF(R57="IN-07",'Assumptions &amp; Inputs'!$D$65,AG57))*AM57)*AS57)+AX57+(((AJ57+(IF(R57="IN-07",'Assumptions &amp; Inputs'!$D$65,AG57))*AM57)*AS57)*AZ57)+IF(BD57="Yes",(((AJ57+(IF(R57="IN-07",'Assumptions &amp; Inputs'!$D$65,AG57))*AM57)*AS57)+AX57)*VLOOKUP("IN-34",'Assumptions &amp; Inputs'!$A$31:$F$69,4,FALSE),0),0)</f>
        <v>15592.5</v>
      </c>
      <c r="CF57" s="4">
        <f>IF(BR57=1,((AK57+(IF(R57="IN-07",'Assumptions &amp; Inputs'!$E$65,AH57))*AN57)*AS57)+AY57+(((AK57+(IF(R57="IN-07",'Assumptions &amp; Inputs'!$E$65,AH57))*AN57)*AS57)*AZ57)+IF(BD57="Yes",(((AK57+(IF(R57="IN-07",'Assumptions &amp; Inputs'!$E$65,AH57))*AN57)*AS57)+AY57)*VLOOKUP("IN-34",'Assumptions &amp; Inputs'!$A$31:$F$69,5,FALSE),0),0)</f>
        <v>49329</v>
      </c>
      <c r="CG57" s="4">
        <f>IF(BS57=1,((AI57+(IF(R57="IN-07",0,AF57))*AL57)*AS57)+AW57+(((AI57+(IF(R57="IN-07",0,AF57))*AL57)*AS57)*AZ57)+IF(BD57="Yes",(((AI57+(IF(R57="IN-07",0,AF57))*AL57)*AS57)+AW57)*VLOOKUP("IN-34",'Assumptions &amp; Inputs'!$A$31:$F$69,3,FALSE),0),0)</f>
        <v>5740.875</v>
      </c>
      <c r="CH57" s="4">
        <f>IF(BS57=1,((AJ57+(IF(R57="IN-07",0,AG57))*AM57)*AS57)+AX57+(((AJ57+(IF(R57="IN-07",0,AG57))*AM57)*AS57)*AZ57)+IF(BD57="Yes",(((AJ57+(IF(R57="IN-07",0,AG57))*AM57)*AS57)+AX57)*VLOOKUP("IN-34",'Assumptions &amp; Inputs'!$A$31:$F$69,4,FALSE),0),0)</f>
        <v>15592.5</v>
      </c>
      <c r="CI57" s="4">
        <f>IF(BS57=1,((AK57+(IF(R57="IN-07",0,AH57))*AN57)*AS57)+AY57+(((AK57+(IF(R57="IN-07",0,AH57))*AN57)*AS57)*AZ57)+IF(BD57="Yes",(((AK57+(IF(R57="IN-07",0,AH57))*AN57)*AS57)+AY57)*VLOOKUP("IN-34",'Assumptions &amp; Inputs'!$A$31:$F$69,5,FALSE),0),0)</f>
        <v>49329</v>
      </c>
      <c r="CJ57" s="4">
        <f>IF(BT57=1,((AI57+(IF(R57="IN-07",0,AF57))*AL57)*AS57)+AW57+(((AI57+(IF(R57="IN-07",0,AF57))*AL57)*AS57)*AZ57)+IF(BD57="Yes",(((AI57+(IF(R57="IN-07",0,AF57))*AL57)*AS57)+AW57)*VLOOKUP("IN-34",'Assumptions &amp; Inputs'!$A$31:$F$69,3,FALSE),0),0)</f>
        <v>5740.875</v>
      </c>
      <c r="CK57" s="4">
        <f>IF(BT57=1,((AJ57+(IF(R57="IN-07",0,AG57))*AM57)*AS57)+AX57+(((AJ57+(IF(R57="IN-07",0,AG57))*AM57)*AS57)*AZ57)+IF(BD57="Yes",(((AJ57+(IF(R57="IN-07",0,AG57))*AM57)*AS57)+AX57)*VLOOKUP("IN-34",'Assumptions &amp; Inputs'!$A$31:$F$69,4,FALSE),0),0)</f>
        <v>15592.5</v>
      </c>
      <c r="CL57" s="4">
        <f>IF(BT57=1,((AK57+(IF(R57="IN-07",0,AH57))*AN57)*AS57)+AY57+(((AK57+(IF(R57="IN-07",0,AH57))*AN57)*AS57)*AZ57)+IF(BD57="Yes",(((AK57+(IF(R57="IN-07",0,AH57))*AN57)*AS57)+AY57)*VLOOKUP("IN-34",'Assumptions &amp; Inputs'!$A$31:$F$69,5,FALSE),0),0)</f>
        <v>49329</v>
      </c>
    </row>
    <row r="58" spans="1:90" ht="43.5" x14ac:dyDescent="0.35">
      <c r="A58" s="51" t="s">
        <v>1209</v>
      </c>
      <c r="B58" s="51" t="s">
        <v>1210</v>
      </c>
      <c r="C58" s="51" t="s">
        <v>49</v>
      </c>
      <c r="D58" s="51" t="s">
        <v>57</v>
      </c>
      <c r="E58" s="51" t="s">
        <v>1211</v>
      </c>
      <c r="F58" s="51" t="s">
        <v>1212</v>
      </c>
      <c r="G58" s="51" t="s">
        <v>1213</v>
      </c>
      <c r="H58" s="51" t="s">
        <v>1214</v>
      </c>
      <c r="I58" s="51" t="s">
        <v>49</v>
      </c>
      <c r="J58" s="51" t="s">
        <v>1215</v>
      </c>
      <c r="K58" s="51" t="s">
        <v>1135</v>
      </c>
      <c r="L58" s="51" t="s">
        <v>49</v>
      </c>
      <c r="M58" s="51" t="s">
        <v>532</v>
      </c>
      <c r="N58" s="51" t="s">
        <v>160</v>
      </c>
      <c r="O58" s="51" t="s">
        <v>813</v>
      </c>
      <c r="P58" s="51" t="s">
        <v>176</v>
      </c>
      <c r="Q58" s="51" t="s">
        <v>744</v>
      </c>
      <c r="R58" s="51" t="s">
        <v>363</v>
      </c>
      <c r="S58" s="51" t="s">
        <v>745</v>
      </c>
      <c r="T58" s="51" t="s">
        <v>746</v>
      </c>
      <c r="U58" s="51" t="s">
        <v>1206</v>
      </c>
      <c r="V58" s="51" t="s">
        <v>1126</v>
      </c>
      <c r="W58" s="51" t="s">
        <v>540</v>
      </c>
      <c r="X58" s="51" t="s">
        <v>1216</v>
      </c>
      <c r="Y58" s="51" t="s">
        <v>1217</v>
      </c>
      <c r="Z58" s="51" t="s">
        <v>543</v>
      </c>
      <c r="AA58" s="51" t="s">
        <v>749</v>
      </c>
      <c r="AB58" s="51" t="s">
        <v>545</v>
      </c>
      <c r="AC58" s="51" t="s">
        <v>750</v>
      </c>
      <c r="AD58" s="51" t="s">
        <v>751</v>
      </c>
      <c r="AE58" s="20">
        <f>IF(ISNUMBER(SEARCH('Scenario Definitions'!$C$5,N58)),1,0)</f>
        <v>1</v>
      </c>
      <c r="AF58" s="20">
        <f>IFERROR(VLOOKUP(R58,'Assumptions &amp; Inputs'!$A$31:$F$69,3,FALSE),0)</f>
        <v>1</v>
      </c>
      <c r="AG58" s="20">
        <f>IFERROR(VLOOKUP(R58,'Assumptions &amp; Inputs'!$A$31:$F$69,4,FALSE),0)</f>
        <v>2</v>
      </c>
      <c r="AH58" s="21">
        <f>IFERROR(VLOOKUP(R58,'Assumptions &amp; Inputs'!$A$31:$F$69,5,FALSE),0)</f>
        <v>4</v>
      </c>
      <c r="AI58" s="11">
        <v>0</v>
      </c>
      <c r="AJ58" s="11">
        <v>0</v>
      </c>
      <c r="AK58" s="11">
        <v>0</v>
      </c>
      <c r="AL58" s="11">
        <v>15</v>
      </c>
      <c r="AM58" s="11">
        <v>20</v>
      </c>
      <c r="AN58" s="11">
        <v>30</v>
      </c>
      <c r="AO58" s="38">
        <f t="shared" si="18"/>
        <v>15</v>
      </c>
      <c r="AP58" s="20">
        <f t="shared" si="19"/>
        <v>40</v>
      </c>
      <c r="AQ58" s="21">
        <f t="shared" si="20"/>
        <v>120</v>
      </c>
      <c r="AR58" s="58" t="s">
        <v>426</v>
      </c>
      <c r="AS58" s="34">
        <f>IFERROR(VLOOKUP(AR58,'Assumptions &amp; Inputs'!$A$73:$I$100,9,FALSE),0)</f>
        <v>105</v>
      </c>
      <c r="AT58" s="28">
        <f t="shared" si="21"/>
        <v>1575</v>
      </c>
      <c r="AU58" s="28">
        <f t="shared" si="22"/>
        <v>4200</v>
      </c>
      <c r="AV58" s="29">
        <f t="shared" si="23"/>
        <v>12600</v>
      </c>
      <c r="AW58" s="57">
        <v>2000</v>
      </c>
      <c r="AX58" s="57">
        <v>5000</v>
      </c>
      <c r="AY58" s="57">
        <v>12000</v>
      </c>
      <c r="AZ58" s="34">
        <f>IFERROR(VLOOKUP(C58,'Assumptions &amp; Inputs'!$A$104:$B$107,2,FALSE),0)</f>
        <v>0.3</v>
      </c>
      <c r="BA58" s="28">
        <f t="shared" si="24"/>
        <v>472.5</v>
      </c>
      <c r="BB58" s="28">
        <f t="shared" si="25"/>
        <v>1260</v>
      </c>
      <c r="BC58" s="29">
        <f t="shared" si="26"/>
        <v>3780</v>
      </c>
      <c r="BD58" s="57" t="s">
        <v>209</v>
      </c>
      <c r="BE58" s="34">
        <f>IF(BD58="Yes",(AT58+AW58)*VLOOKUP("IN-34",'Assumptions &amp; Inputs'!$A$31:$F$69,3,FALSE),0)</f>
        <v>178.75</v>
      </c>
      <c r="BF58" s="28">
        <f>IF(BD58="Yes",(AU58+AX58)*VLOOKUP("IN-34",'Assumptions &amp; Inputs'!$A$31:$F$69,4,FALSE),0)</f>
        <v>690</v>
      </c>
      <c r="BG58" s="28">
        <f>IF(BD58="Yes",(AV58+AY58)*VLOOKUP("IN-34",'Assumptions &amp; Inputs'!$A$31:$F$69,5,FALSE),0)</f>
        <v>3690</v>
      </c>
      <c r="BH58" s="28">
        <f t="shared" si="27"/>
        <v>4226.25</v>
      </c>
      <c r="BI58" s="28">
        <f t="shared" si="28"/>
        <v>11150</v>
      </c>
      <c r="BJ58" s="29">
        <f t="shared" si="29"/>
        <v>32070</v>
      </c>
      <c r="BK58" s="58" t="s">
        <v>548</v>
      </c>
      <c r="BL58" s="58" t="s">
        <v>549</v>
      </c>
      <c r="BM58" s="58" t="s">
        <v>749</v>
      </c>
      <c r="BN58" s="58" t="s">
        <v>550</v>
      </c>
      <c r="BO58" s="5">
        <f t="shared" si="30"/>
        <v>0</v>
      </c>
      <c r="BP58" s="5">
        <f t="shared" si="31"/>
        <v>0</v>
      </c>
      <c r="BQ58" s="5">
        <f t="shared" si="32"/>
        <v>1</v>
      </c>
      <c r="BR58" s="5">
        <f t="shared" si="33"/>
        <v>1</v>
      </c>
      <c r="BS58" s="5">
        <f t="shared" si="34"/>
        <v>1</v>
      </c>
      <c r="BT58" s="5">
        <f t="shared" si="35"/>
        <v>1</v>
      </c>
      <c r="BU58" s="4">
        <f>IF(BO58=1,((AI58+(IF(R58="IN-07",'Assumptions &amp; Inputs'!$C$66,AF58))*AL58)*AS58)+AW58+(((AI58+(IF(R58="IN-07",'Assumptions &amp; Inputs'!$C$66,AF58))*AL58)*AS58)*AZ58)+IF(BD58="Yes",(((AI58+(IF(R58="IN-07",'Assumptions &amp; Inputs'!$C$66,AF58))*AL58)*AS58)+AW58)*VLOOKUP("IN-34",'Assumptions &amp; Inputs'!$A$31:$F$69,3,FALSE),0),0)</f>
        <v>0</v>
      </c>
      <c r="BV58" s="4">
        <f>IF(BO58=1,((AJ58+(IF(R58="IN-07",'Assumptions &amp; Inputs'!$D$66,AG58))*AM58)*AS58)+AX58+(((AJ58+(IF(R58="IN-07",'Assumptions &amp; Inputs'!$D$66,AG58))*AM58)*AS58)*AZ58)+IF(BD58="Yes",(((AJ58+(IF(R58="IN-07",'Assumptions &amp; Inputs'!$D$66,AG58))*AM58)*AS58)+AX58)*VLOOKUP("IN-34",'Assumptions &amp; Inputs'!$A$31:$F$69,4,FALSE),0),0)</f>
        <v>0</v>
      </c>
      <c r="BW58" s="4">
        <f>IF(BO58=1,((AK58+(IF(R58="IN-07",'Assumptions &amp; Inputs'!$E$66,AH58))*AN58)*AS58)+AY58+(((AK58+(IF(R58="IN-07",'Assumptions &amp; Inputs'!$E$66,AH58))*AN58)*AS58)*AZ58)+IF(BD58="Yes",(((AK58+(IF(R58="IN-07",'Assumptions &amp; Inputs'!$E$66,AH58))*AN58)*AS58)+AY58)*VLOOKUP("IN-34",'Assumptions &amp; Inputs'!$A$31:$F$69,5,FALSE),0),0)</f>
        <v>0</v>
      </c>
      <c r="BX58" s="4">
        <f>IF(BP58=1,((AI58+(IF(R58="IN-07",'Assumptions &amp; Inputs'!$C$66,AF58))*AL58)*AS58)+AW58+(((AI58+(IF(R58="IN-07",'Assumptions &amp; Inputs'!$C$66,AF58))*AL58)*AS58)*AZ58)+IF(BD58="Yes",(((AI58+(IF(R58="IN-07",'Assumptions &amp; Inputs'!$C$66,AF58))*AL58)*AS58)+AW58)*VLOOKUP("IN-34",'Assumptions &amp; Inputs'!$A$31:$F$69,3,FALSE),0),0)</f>
        <v>0</v>
      </c>
      <c r="BY58" s="4">
        <f>IF(BP58=1,((AJ58+(IF(R58="IN-07",'Assumptions &amp; Inputs'!$D$66,AG58))*AM58)*AS58)+AX58+(((AJ58+(IF(R58="IN-07",'Assumptions &amp; Inputs'!$D$66,AG58))*AM58)*AS58)*AZ58)+IF(BD58="Yes",(((AJ58+(IF(R58="IN-07",'Assumptions &amp; Inputs'!$D$66,AG58))*AM58)*AS58)+AX58)*VLOOKUP("IN-34",'Assumptions &amp; Inputs'!$A$31:$F$69,4,FALSE),0),0)</f>
        <v>0</v>
      </c>
      <c r="BZ58" s="4">
        <f>IF(BP58=1,((AK58+(IF(R58="IN-07",'Assumptions &amp; Inputs'!$E$66,AH58))*AN58)*AS58)+AY58+(((AK58+(IF(R58="IN-07",'Assumptions &amp; Inputs'!$E$66,AH58))*AN58)*AS58)*AZ58)+IF(BD58="Yes",(((AK58+(IF(R58="IN-07",'Assumptions &amp; Inputs'!$E$66,AH58))*AN58)*AS58)+AY58)*VLOOKUP("IN-34",'Assumptions &amp; Inputs'!$A$31:$F$69,5,FALSE),0),0)</f>
        <v>0</v>
      </c>
      <c r="CA58" s="4">
        <f>IF(BQ58=1,((AI58+(IF(R58="IN-07",'Assumptions &amp; Inputs'!$C$65,AF58))*AL58)*AS58)+AW58+(((AI58+(IF(R58="IN-07",'Assumptions &amp; Inputs'!$C$65,AF58))*AL58)*AS58)*AZ58)+IF(BD58="Yes",(((AI58+(IF(R58="IN-07",'Assumptions &amp; Inputs'!$C$65,AF58))*AL58)*AS58)+AW58)*VLOOKUP("IN-34",'Assumptions &amp; Inputs'!$A$31:$F$69,3,FALSE),0),0)</f>
        <v>4226.25</v>
      </c>
      <c r="CB58" s="4">
        <f>IF(BQ58=1,((AJ58+(IF(R58="IN-07",'Assumptions &amp; Inputs'!$D$65,AG58))*AM58)*AS58)+AX58+(((AJ58+(IF(R58="IN-07",'Assumptions &amp; Inputs'!$D$65,AG58))*AM58)*AS58)*AZ58)+IF(BD58="Yes",(((AJ58+(IF(R58="IN-07",'Assumptions &amp; Inputs'!$D$65,AG58))*AM58)*AS58)+AX58)*VLOOKUP("IN-34",'Assumptions &amp; Inputs'!$A$31:$F$69,4,FALSE),0),0)</f>
        <v>11150</v>
      </c>
      <c r="CC58" s="4">
        <f>IF(BQ58=1,((AK58+(IF(R58="IN-07",'Assumptions &amp; Inputs'!$E$65,AH58))*AN58)*AS58)+AY58+(((AK58+(IF(R58="IN-07",'Assumptions &amp; Inputs'!$E$65,AH58))*AN58)*AS58)*AZ58)+IF(BD58="Yes",(((AK58+(IF(R58="IN-07",'Assumptions &amp; Inputs'!$E$65,AH58))*AN58)*AS58)+AY58)*VLOOKUP("IN-34",'Assumptions &amp; Inputs'!$A$31:$F$69,5,FALSE),0),0)</f>
        <v>32070</v>
      </c>
      <c r="CD58" s="4">
        <f>IF(BR58=1,((AI58+(IF(R58="IN-07",'Assumptions &amp; Inputs'!$C$65,AF58))*AL58)*AS58)+AW58+(((AI58+(IF(R58="IN-07",'Assumptions &amp; Inputs'!$C$65,AF58))*AL58)*AS58)*AZ58)+IF(BD58="Yes",(((AI58+(IF(R58="IN-07",'Assumptions &amp; Inputs'!$C$65,AF58))*AL58)*AS58)+AW58)*VLOOKUP("IN-34",'Assumptions &amp; Inputs'!$A$31:$F$69,3,FALSE),0),0)</f>
        <v>4226.25</v>
      </c>
      <c r="CE58" s="4">
        <f>IF(BR58=1,((AJ58+(IF(R58="IN-07",'Assumptions &amp; Inputs'!$D$65,AG58))*AM58)*AS58)+AX58+(((AJ58+(IF(R58="IN-07",'Assumptions &amp; Inputs'!$D$65,AG58))*AM58)*AS58)*AZ58)+IF(BD58="Yes",(((AJ58+(IF(R58="IN-07",'Assumptions &amp; Inputs'!$D$65,AG58))*AM58)*AS58)+AX58)*VLOOKUP("IN-34",'Assumptions &amp; Inputs'!$A$31:$F$69,4,FALSE),0),0)</f>
        <v>11150</v>
      </c>
      <c r="CF58" s="4">
        <f>IF(BR58=1,((AK58+(IF(R58="IN-07",'Assumptions &amp; Inputs'!$E$65,AH58))*AN58)*AS58)+AY58+(((AK58+(IF(R58="IN-07",'Assumptions &amp; Inputs'!$E$65,AH58))*AN58)*AS58)*AZ58)+IF(BD58="Yes",(((AK58+(IF(R58="IN-07",'Assumptions &amp; Inputs'!$E$65,AH58))*AN58)*AS58)+AY58)*VLOOKUP("IN-34",'Assumptions &amp; Inputs'!$A$31:$F$69,5,FALSE),0),0)</f>
        <v>32070</v>
      </c>
      <c r="CG58" s="4">
        <f>IF(BS58=1,((AI58+(IF(R58="IN-07",0,AF58))*AL58)*AS58)+AW58+(((AI58+(IF(R58="IN-07",0,AF58))*AL58)*AS58)*AZ58)+IF(BD58="Yes",(((AI58+(IF(R58="IN-07",0,AF58))*AL58)*AS58)+AW58)*VLOOKUP("IN-34",'Assumptions &amp; Inputs'!$A$31:$F$69,3,FALSE),0),0)</f>
        <v>4226.25</v>
      </c>
      <c r="CH58" s="4">
        <f>IF(BS58=1,((AJ58+(IF(R58="IN-07",0,AG58))*AM58)*AS58)+AX58+(((AJ58+(IF(R58="IN-07",0,AG58))*AM58)*AS58)*AZ58)+IF(BD58="Yes",(((AJ58+(IF(R58="IN-07",0,AG58))*AM58)*AS58)+AX58)*VLOOKUP("IN-34",'Assumptions &amp; Inputs'!$A$31:$F$69,4,FALSE),0),0)</f>
        <v>11150</v>
      </c>
      <c r="CI58" s="4">
        <f>IF(BS58=1,((AK58+(IF(R58="IN-07",0,AH58))*AN58)*AS58)+AY58+(((AK58+(IF(R58="IN-07",0,AH58))*AN58)*AS58)*AZ58)+IF(BD58="Yes",(((AK58+(IF(R58="IN-07",0,AH58))*AN58)*AS58)+AY58)*VLOOKUP("IN-34",'Assumptions &amp; Inputs'!$A$31:$F$69,5,FALSE),0),0)</f>
        <v>32070</v>
      </c>
      <c r="CJ58" s="4">
        <f>IF(BT58=1,((AI58+(IF(R58="IN-07",0,AF58))*AL58)*AS58)+AW58+(((AI58+(IF(R58="IN-07",0,AF58))*AL58)*AS58)*AZ58)+IF(BD58="Yes",(((AI58+(IF(R58="IN-07",0,AF58))*AL58)*AS58)+AW58)*VLOOKUP("IN-34",'Assumptions &amp; Inputs'!$A$31:$F$69,3,FALSE),0),0)</f>
        <v>4226.25</v>
      </c>
      <c r="CK58" s="4">
        <f>IF(BT58=1,((AJ58+(IF(R58="IN-07",0,AG58))*AM58)*AS58)+AX58+(((AJ58+(IF(R58="IN-07",0,AG58))*AM58)*AS58)*AZ58)+IF(BD58="Yes",(((AJ58+(IF(R58="IN-07",0,AG58))*AM58)*AS58)+AX58)*VLOOKUP("IN-34",'Assumptions &amp; Inputs'!$A$31:$F$69,4,FALSE),0),0)</f>
        <v>11150</v>
      </c>
      <c r="CL58" s="4">
        <f>IF(BT58=1,((AK58+(IF(R58="IN-07",0,AH58))*AN58)*AS58)+AY58+(((AK58+(IF(R58="IN-07",0,AH58))*AN58)*AS58)*AZ58)+IF(BD58="Yes",(((AK58+(IF(R58="IN-07",0,AH58))*AN58)*AS58)+AY58)*VLOOKUP("IN-34",'Assumptions &amp; Inputs'!$A$31:$F$69,5,FALSE),0),0)</f>
        <v>32070</v>
      </c>
    </row>
    <row r="59" spans="1:90" ht="43.5" x14ac:dyDescent="0.35">
      <c r="A59" s="51" t="s">
        <v>1218</v>
      </c>
      <c r="B59" s="51" t="s">
        <v>1219</v>
      </c>
      <c r="C59" s="51" t="s">
        <v>49</v>
      </c>
      <c r="D59" s="51" t="s">
        <v>58</v>
      </c>
      <c r="E59" s="51" t="s">
        <v>1220</v>
      </c>
      <c r="F59" s="51" t="s">
        <v>1221</v>
      </c>
      <c r="G59" s="51" t="s">
        <v>1222</v>
      </c>
      <c r="H59" s="51" t="s">
        <v>1223</v>
      </c>
      <c r="I59" s="51" t="s">
        <v>49</v>
      </c>
      <c r="J59" s="51" t="s">
        <v>1224</v>
      </c>
      <c r="K59" s="51" t="s">
        <v>1135</v>
      </c>
      <c r="L59" s="51" t="s">
        <v>49</v>
      </c>
      <c r="M59" s="51" t="s">
        <v>532</v>
      </c>
      <c r="N59" s="51" t="s">
        <v>160</v>
      </c>
      <c r="O59" s="51" t="s">
        <v>813</v>
      </c>
      <c r="P59" s="51" t="s">
        <v>556</v>
      </c>
      <c r="Q59" s="51" t="s">
        <v>759</v>
      </c>
      <c r="R59" s="51" t="s">
        <v>341</v>
      </c>
      <c r="S59" s="51" t="s">
        <v>558</v>
      </c>
      <c r="T59" s="51" t="s">
        <v>1225</v>
      </c>
      <c r="U59" s="51" t="s">
        <v>1226</v>
      </c>
      <c r="V59" s="51" t="s">
        <v>1112</v>
      </c>
      <c r="W59" s="51" t="s">
        <v>993</v>
      </c>
      <c r="X59" s="51" t="s">
        <v>1227</v>
      </c>
      <c r="Y59" s="51" t="s">
        <v>1228</v>
      </c>
      <c r="Z59" s="51" t="s">
        <v>763</v>
      </c>
      <c r="AA59" s="51" t="s">
        <v>1115</v>
      </c>
      <c r="AB59" s="51" t="s">
        <v>36</v>
      </c>
      <c r="AC59" s="51" t="s">
        <v>1229</v>
      </c>
      <c r="AD59" s="51" t="s">
        <v>766</v>
      </c>
      <c r="AE59" s="20">
        <f>IF(ISNUMBER(SEARCH('Scenario Definitions'!$C$5,N59)),1,0)</f>
        <v>1</v>
      </c>
      <c r="AF59" s="20">
        <f>IFERROR(VLOOKUP(R59,'Assumptions &amp; Inputs'!$A$31:$F$69,3,FALSE),0)</f>
        <v>6</v>
      </c>
      <c r="AG59" s="20">
        <f>IFERROR(VLOOKUP(R59,'Assumptions &amp; Inputs'!$A$31:$F$69,4,FALSE),0)</f>
        <v>9</v>
      </c>
      <c r="AH59" s="21">
        <f>IFERROR(VLOOKUP(R59,'Assumptions &amp; Inputs'!$A$31:$F$69,5,FALSE),0)</f>
        <v>9</v>
      </c>
      <c r="AI59" s="11">
        <v>0</v>
      </c>
      <c r="AJ59" s="11">
        <v>0</v>
      </c>
      <c r="AK59" s="11">
        <v>0</v>
      </c>
      <c r="AL59" s="11">
        <v>54</v>
      </c>
      <c r="AM59" s="11">
        <v>72</v>
      </c>
      <c r="AN59" s="11">
        <v>108</v>
      </c>
      <c r="AO59" s="38">
        <f t="shared" si="18"/>
        <v>324</v>
      </c>
      <c r="AP59" s="20">
        <f t="shared" si="19"/>
        <v>648</v>
      </c>
      <c r="AQ59" s="21">
        <f t="shared" si="20"/>
        <v>972</v>
      </c>
      <c r="AR59" s="58" t="s">
        <v>428</v>
      </c>
      <c r="AS59" s="34">
        <f>IFERROR(VLOOKUP(AR59,'Assumptions &amp; Inputs'!$A$73:$I$100,9,FALSE),0)</f>
        <v>90</v>
      </c>
      <c r="AT59" s="28">
        <f t="shared" si="21"/>
        <v>29160</v>
      </c>
      <c r="AU59" s="28">
        <f t="shared" si="22"/>
        <v>58320</v>
      </c>
      <c r="AV59" s="29">
        <f t="shared" si="23"/>
        <v>87480</v>
      </c>
      <c r="AW59" s="57">
        <v>30000</v>
      </c>
      <c r="AX59" s="57">
        <v>70000</v>
      </c>
      <c r="AY59" s="57">
        <v>150000</v>
      </c>
      <c r="AZ59" s="34">
        <f>IFERROR(VLOOKUP(C59,'Assumptions &amp; Inputs'!$A$104:$B$107,2,FALSE),0)</f>
        <v>0.3</v>
      </c>
      <c r="BA59" s="28">
        <f t="shared" si="24"/>
        <v>8748</v>
      </c>
      <c r="BB59" s="28">
        <f t="shared" si="25"/>
        <v>17496</v>
      </c>
      <c r="BC59" s="29">
        <f t="shared" si="26"/>
        <v>26244</v>
      </c>
      <c r="BD59" s="57" t="s">
        <v>209</v>
      </c>
      <c r="BE59" s="34">
        <f>IF(BD59="Yes",(AT59+AW59)*VLOOKUP("IN-34",'Assumptions &amp; Inputs'!$A$31:$F$69,3,FALSE),0)</f>
        <v>2958</v>
      </c>
      <c r="BF59" s="28">
        <f>IF(BD59="Yes",(AU59+AX59)*VLOOKUP("IN-34",'Assumptions &amp; Inputs'!$A$31:$F$69,4,FALSE),0)</f>
        <v>9624</v>
      </c>
      <c r="BG59" s="28">
        <f>IF(BD59="Yes",(AV59+AY59)*VLOOKUP("IN-34",'Assumptions &amp; Inputs'!$A$31:$F$69,5,FALSE),0)</f>
        <v>35622</v>
      </c>
      <c r="BH59" s="28">
        <f t="shared" si="27"/>
        <v>70866</v>
      </c>
      <c r="BI59" s="28">
        <f t="shared" si="28"/>
        <v>155440</v>
      </c>
      <c r="BJ59" s="29">
        <f t="shared" si="29"/>
        <v>299346</v>
      </c>
      <c r="BK59" s="58" t="s">
        <v>548</v>
      </c>
      <c r="BL59" s="58" t="s">
        <v>549</v>
      </c>
      <c r="BM59" s="58" t="s">
        <v>1115</v>
      </c>
      <c r="BN59" s="58" t="s">
        <v>550</v>
      </c>
      <c r="BO59" s="5">
        <f t="shared" si="30"/>
        <v>0</v>
      </c>
      <c r="BP59" s="5">
        <f t="shared" si="31"/>
        <v>0</v>
      </c>
      <c r="BQ59" s="5">
        <f t="shared" si="32"/>
        <v>1</v>
      </c>
      <c r="BR59" s="5">
        <f t="shared" si="33"/>
        <v>1</v>
      </c>
      <c r="BS59" s="5">
        <f t="shared" si="34"/>
        <v>1</v>
      </c>
      <c r="BT59" s="5">
        <f t="shared" si="35"/>
        <v>1</v>
      </c>
      <c r="BU59" s="4">
        <f>IF(BO59=1,((AI59+(IF(R59="IN-07",'Assumptions &amp; Inputs'!$C$66,AF59))*AL59)*AS59)+AW59+(((AI59+(IF(R59="IN-07",'Assumptions &amp; Inputs'!$C$66,AF59))*AL59)*AS59)*AZ59)+IF(BD59="Yes",(((AI59+(IF(R59="IN-07",'Assumptions &amp; Inputs'!$C$66,AF59))*AL59)*AS59)+AW59)*VLOOKUP("IN-34",'Assumptions &amp; Inputs'!$A$31:$F$69,3,FALSE),0),0)</f>
        <v>0</v>
      </c>
      <c r="BV59" s="4">
        <f>IF(BO59=1,((AJ59+(IF(R59="IN-07",'Assumptions &amp; Inputs'!$D$66,AG59))*AM59)*AS59)+AX59+(((AJ59+(IF(R59="IN-07",'Assumptions &amp; Inputs'!$D$66,AG59))*AM59)*AS59)*AZ59)+IF(BD59="Yes",(((AJ59+(IF(R59="IN-07",'Assumptions &amp; Inputs'!$D$66,AG59))*AM59)*AS59)+AX59)*VLOOKUP("IN-34",'Assumptions &amp; Inputs'!$A$31:$F$69,4,FALSE),0),0)</f>
        <v>0</v>
      </c>
      <c r="BW59" s="4">
        <f>IF(BO59=1,((AK59+(IF(R59="IN-07",'Assumptions &amp; Inputs'!$E$66,AH59))*AN59)*AS59)+AY59+(((AK59+(IF(R59="IN-07",'Assumptions &amp; Inputs'!$E$66,AH59))*AN59)*AS59)*AZ59)+IF(BD59="Yes",(((AK59+(IF(R59="IN-07",'Assumptions &amp; Inputs'!$E$66,AH59))*AN59)*AS59)+AY59)*VLOOKUP("IN-34",'Assumptions &amp; Inputs'!$A$31:$F$69,5,FALSE),0),0)</f>
        <v>0</v>
      </c>
      <c r="BX59" s="4">
        <f>IF(BP59=1,((AI59+(IF(R59="IN-07",'Assumptions &amp; Inputs'!$C$66,AF59))*AL59)*AS59)+AW59+(((AI59+(IF(R59="IN-07",'Assumptions &amp; Inputs'!$C$66,AF59))*AL59)*AS59)*AZ59)+IF(BD59="Yes",(((AI59+(IF(R59="IN-07",'Assumptions &amp; Inputs'!$C$66,AF59))*AL59)*AS59)+AW59)*VLOOKUP("IN-34",'Assumptions &amp; Inputs'!$A$31:$F$69,3,FALSE),0),0)</f>
        <v>0</v>
      </c>
      <c r="BY59" s="4">
        <f>IF(BP59=1,((AJ59+(IF(R59="IN-07",'Assumptions &amp; Inputs'!$D$66,AG59))*AM59)*AS59)+AX59+(((AJ59+(IF(R59="IN-07",'Assumptions &amp; Inputs'!$D$66,AG59))*AM59)*AS59)*AZ59)+IF(BD59="Yes",(((AJ59+(IF(R59="IN-07",'Assumptions &amp; Inputs'!$D$66,AG59))*AM59)*AS59)+AX59)*VLOOKUP("IN-34",'Assumptions &amp; Inputs'!$A$31:$F$69,4,FALSE),0),0)</f>
        <v>0</v>
      </c>
      <c r="BZ59" s="4">
        <f>IF(BP59=1,((AK59+(IF(R59="IN-07",'Assumptions &amp; Inputs'!$E$66,AH59))*AN59)*AS59)+AY59+(((AK59+(IF(R59="IN-07",'Assumptions &amp; Inputs'!$E$66,AH59))*AN59)*AS59)*AZ59)+IF(BD59="Yes",(((AK59+(IF(R59="IN-07",'Assumptions &amp; Inputs'!$E$66,AH59))*AN59)*AS59)+AY59)*VLOOKUP("IN-34",'Assumptions &amp; Inputs'!$A$31:$F$69,5,FALSE),0),0)</f>
        <v>0</v>
      </c>
      <c r="CA59" s="4">
        <f>IF(BQ59=1,((AI59+(IF(R59="IN-07",'Assumptions &amp; Inputs'!$C$65,AF59))*AL59)*AS59)+AW59+(((AI59+(IF(R59="IN-07",'Assumptions &amp; Inputs'!$C$65,AF59))*AL59)*AS59)*AZ59)+IF(BD59="Yes",(((AI59+(IF(R59="IN-07",'Assumptions &amp; Inputs'!$C$65,AF59))*AL59)*AS59)+AW59)*VLOOKUP("IN-34",'Assumptions &amp; Inputs'!$A$31:$F$69,3,FALSE),0),0)</f>
        <v>70866</v>
      </c>
      <c r="CB59" s="4">
        <f>IF(BQ59=1,((AJ59+(IF(R59="IN-07",'Assumptions &amp; Inputs'!$D$65,AG59))*AM59)*AS59)+AX59+(((AJ59+(IF(R59="IN-07",'Assumptions &amp; Inputs'!$D$65,AG59))*AM59)*AS59)*AZ59)+IF(BD59="Yes",(((AJ59+(IF(R59="IN-07",'Assumptions &amp; Inputs'!$D$65,AG59))*AM59)*AS59)+AX59)*VLOOKUP("IN-34",'Assumptions &amp; Inputs'!$A$31:$F$69,4,FALSE),0),0)</f>
        <v>155440</v>
      </c>
      <c r="CC59" s="4">
        <f>IF(BQ59=1,((AK59+(IF(R59="IN-07",'Assumptions &amp; Inputs'!$E$65,AH59))*AN59)*AS59)+AY59+(((AK59+(IF(R59="IN-07",'Assumptions &amp; Inputs'!$E$65,AH59))*AN59)*AS59)*AZ59)+IF(BD59="Yes",(((AK59+(IF(R59="IN-07",'Assumptions &amp; Inputs'!$E$65,AH59))*AN59)*AS59)+AY59)*VLOOKUP("IN-34",'Assumptions &amp; Inputs'!$A$31:$F$69,5,FALSE),0),0)</f>
        <v>299346</v>
      </c>
      <c r="CD59" s="4">
        <f>IF(BR59=1,((AI59+(IF(R59="IN-07",'Assumptions &amp; Inputs'!$C$65,AF59))*AL59)*AS59)+AW59+(((AI59+(IF(R59="IN-07",'Assumptions &amp; Inputs'!$C$65,AF59))*AL59)*AS59)*AZ59)+IF(BD59="Yes",(((AI59+(IF(R59="IN-07",'Assumptions &amp; Inputs'!$C$65,AF59))*AL59)*AS59)+AW59)*VLOOKUP("IN-34",'Assumptions &amp; Inputs'!$A$31:$F$69,3,FALSE),0),0)</f>
        <v>70866</v>
      </c>
      <c r="CE59" s="4">
        <f>IF(BR59=1,((AJ59+(IF(R59="IN-07",'Assumptions &amp; Inputs'!$D$65,AG59))*AM59)*AS59)+AX59+(((AJ59+(IF(R59="IN-07",'Assumptions &amp; Inputs'!$D$65,AG59))*AM59)*AS59)*AZ59)+IF(BD59="Yes",(((AJ59+(IF(R59="IN-07",'Assumptions &amp; Inputs'!$D$65,AG59))*AM59)*AS59)+AX59)*VLOOKUP("IN-34",'Assumptions &amp; Inputs'!$A$31:$F$69,4,FALSE),0),0)</f>
        <v>155440</v>
      </c>
      <c r="CF59" s="4">
        <f>IF(BR59=1,((AK59+(IF(R59="IN-07",'Assumptions &amp; Inputs'!$E$65,AH59))*AN59)*AS59)+AY59+(((AK59+(IF(R59="IN-07",'Assumptions &amp; Inputs'!$E$65,AH59))*AN59)*AS59)*AZ59)+IF(BD59="Yes",(((AK59+(IF(R59="IN-07",'Assumptions &amp; Inputs'!$E$65,AH59))*AN59)*AS59)+AY59)*VLOOKUP("IN-34",'Assumptions &amp; Inputs'!$A$31:$F$69,5,FALSE),0),0)</f>
        <v>299346</v>
      </c>
      <c r="CG59" s="4">
        <f>IF(BS59=1,((AI59+(IF(R59="IN-07",0,AF59))*AL59)*AS59)+AW59+(((AI59+(IF(R59="IN-07",0,AF59))*AL59)*AS59)*AZ59)+IF(BD59="Yes",(((AI59+(IF(R59="IN-07",0,AF59))*AL59)*AS59)+AW59)*VLOOKUP("IN-34",'Assumptions &amp; Inputs'!$A$31:$F$69,3,FALSE),0),0)</f>
        <v>70866</v>
      </c>
      <c r="CH59" s="4">
        <f>IF(BS59=1,((AJ59+(IF(R59="IN-07",0,AG59))*AM59)*AS59)+AX59+(((AJ59+(IF(R59="IN-07",0,AG59))*AM59)*AS59)*AZ59)+IF(BD59="Yes",(((AJ59+(IF(R59="IN-07",0,AG59))*AM59)*AS59)+AX59)*VLOOKUP("IN-34",'Assumptions &amp; Inputs'!$A$31:$F$69,4,FALSE),0),0)</f>
        <v>155440</v>
      </c>
      <c r="CI59" s="4">
        <f>IF(BS59=1,((AK59+(IF(R59="IN-07",0,AH59))*AN59)*AS59)+AY59+(((AK59+(IF(R59="IN-07",0,AH59))*AN59)*AS59)*AZ59)+IF(BD59="Yes",(((AK59+(IF(R59="IN-07",0,AH59))*AN59)*AS59)+AY59)*VLOOKUP("IN-34",'Assumptions &amp; Inputs'!$A$31:$F$69,5,FALSE),0),0)</f>
        <v>299346</v>
      </c>
      <c r="CJ59" s="4">
        <f>IF(BT59=1,((AI59+(IF(R59="IN-07",0,AF59))*AL59)*AS59)+AW59+(((AI59+(IF(R59="IN-07",0,AF59))*AL59)*AS59)*AZ59)+IF(BD59="Yes",(((AI59+(IF(R59="IN-07",0,AF59))*AL59)*AS59)+AW59)*VLOOKUP("IN-34",'Assumptions &amp; Inputs'!$A$31:$F$69,3,FALSE),0),0)</f>
        <v>70866</v>
      </c>
      <c r="CK59" s="4">
        <f>IF(BT59=1,((AJ59+(IF(R59="IN-07",0,AG59))*AM59)*AS59)+AX59+(((AJ59+(IF(R59="IN-07",0,AG59))*AM59)*AS59)*AZ59)+IF(BD59="Yes",(((AJ59+(IF(R59="IN-07",0,AG59))*AM59)*AS59)+AX59)*VLOOKUP("IN-34",'Assumptions &amp; Inputs'!$A$31:$F$69,4,FALSE),0),0)</f>
        <v>155440</v>
      </c>
      <c r="CL59" s="4">
        <f>IF(BT59=1,((AK59+(IF(R59="IN-07",0,AH59))*AN59)*AS59)+AY59+(((AK59+(IF(R59="IN-07",0,AH59))*AN59)*AS59)*AZ59)+IF(BD59="Yes",(((AK59+(IF(R59="IN-07",0,AH59))*AN59)*AS59)+AY59)*VLOOKUP("IN-34",'Assumptions &amp; Inputs'!$A$31:$F$69,5,FALSE),0),0)</f>
        <v>299346</v>
      </c>
    </row>
    <row r="60" spans="1:90" ht="43.5" x14ac:dyDescent="0.35">
      <c r="A60" s="51" t="s">
        <v>1230</v>
      </c>
      <c r="B60" s="51" t="s">
        <v>1231</v>
      </c>
      <c r="C60" s="51" t="s">
        <v>49</v>
      </c>
      <c r="D60" s="51" t="s">
        <v>58</v>
      </c>
      <c r="E60" s="51" t="s">
        <v>1232</v>
      </c>
      <c r="F60" s="51" t="s">
        <v>1233</v>
      </c>
      <c r="G60" s="51" t="s">
        <v>1234</v>
      </c>
      <c r="H60" s="51" t="s">
        <v>1235</v>
      </c>
      <c r="I60" s="51" t="s">
        <v>49</v>
      </c>
      <c r="J60" s="51" t="s">
        <v>1236</v>
      </c>
      <c r="K60" s="51" t="s">
        <v>875</v>
      </c>
      <c r="L60" s="51" t="s">
        <v>49</v>
      </c>
      <c r="M60" s="51" t="s">
        <v>532</v>
      </c>
      <c r="N60" s="51" t="s">
        <v>1170</v>
      </c>
      <c r="O60" s="51" t="s">
        <v>813</v>
      </c>
      <c r="P60" s="51" t="s">
        <v>556</v>
      </c>
      <c r="Q60" s="51" t="s">
        <v>759</v>
      </c>
      <c r="R60" s="51" t="s">
        <v>341</v>
      </c>
      <c r="S60" s="51" t="s">
        <v>558</v>
      </c>
      <c r="T60" s="51" t="s">
        <v>1053</v>
      </c>
      <c r="U60" s="51" t="s">
        <v>1237</v>
      </c>
      <c r="V60" s="51" t="s">
        <v>1112</v>
      </c>
      <c r="W60" s="51" t="s">
        <v>1238</v>
      </c>
      <c r="X60" s="51" t="s">
        <v>690</v>
      </c>
      <c r="Y60" s="51" t="s">
        <v>1239</v>
      </c>
      <c r="Z60" s="51" t="s">
        <v>763</v>
      </c>
      <c r="AA60" s="51" t="s">
        <v>1115</v>
      </c>
      <c r="AB60" s="51" t="s">
        <v>1174</v>
      </c>
      <c r="AC60" s="51" t="s">
        <v>1240</v>
      </c>
      <c r="AD60" s="51" t="s">
        <v>1176</v>
      </c>
      <c r="AE60" s="20">
        <f>IF(ISNUMBER(SEARCH('Scenario Definitions'!$C$5,N60)),1,0)</f>
        <v>0</v>
      </c>
      <c r="AF60" s="20">
        <f>IFERROR(VLOOKUP(R60,'Assumptions &amp; Inputs'!$A$31:$F$69,3,FALSE),0)</f>
        <v>6</v>
      </c>
      <c r="AG60" s="20">
        <f>IFERROR(VLOOKUP(R60,'Assumptions &amp; Inputs'!$A$31:$F$69,4,FALSE),0)</f>
        <v>9</v>
      </c>
      <c r="AH60" s="21">
        <f>IFERROR(VLOOKUP(R60,'Assumptions &amp; Inputs'!$A$31:$F$69,5,FALSE),0)</f>
        <v>9</v>
      </c>
      <c r="AI60" s="11">
        <v>0</v>
      </c>
      <c r="AJ60" s="11">
        <v>0</v>
      </c>
      <c r="AK60" s="11">
        <v>0</v>
      </c>
      <c r="AL60" s="11">
        <v>90</v>
      </c>
      <c r="AM60" s="11">
        <v>120</v>
      </c>
      <c r="AN60" s="11">
        <v>180</v>
      </c>
      <c r="AO60" s="38">
        <f t="shared" si="18"/>
        <v>540</v>
      </c>
      <c r="AP60" s="20">
        <f t="shared" si="19"/>
        <v>1080</v>
      </c>
      <c r="AQ60" s="21">
        <f t="shared" si="20"/>
        <v>1620</v>
      </c>
      <c r="AR60" s="58" t="s">
        <v>425</v>
      </c>
      <c r="AS60" s="34">
        <f>IFERROR(VLOOKUP(AR60,'Assumptions &amp; Inputs'!$A$73:$I$100,9,FALSE),0)</f>
        <v>145</v>
      </c>
      <c r="AT60" s="28">
        <f t="shared" si="21"/>
        <v>78300</v>
      </c>
      <c r="AU60" s="28">
        <f t="shared" si="22"/>
        <v>156600</v>
      </c>
      <c r="AV60" s="29">
        <f t="shared" si="23"/>
        <v>234900</v>
      </c>
      <c r="AW60" s="57">
        <v>50000</v>
      </c>
      <c r="AX60" s="57">
        <v>120000</v>
      </c>
      <c r="AY60" s="57">
        <v>300000</v>
      </c>
      <c r="AZ60" s="34">
        <f>IFERROR(VLOOKUP(C60,'Assumptions &amp; Inputs'!$A$104:$B$107,2,FALSE),0)</f>
        <v>0.3</v>
      </c>
      <c r="BA60" s="28">
        <f t="shared" si="24"/>
        <v>23490</v>
      </c>
      <c r="BB60" s="28">
        <f t="shared" si="25"/>
        <v>46980</v>
      </c>
      <c r="BC60" s="29">
        <f t="shared" si="26"/>
        <v>70470</v>
      </c>
      <c r="BD60" s="57" t="s">
        <v>209</v>
      </c>
      <c r="BE60" s="34">
        <f>IF(BD60="Yes",(AT60+AW60)*VLOOKUP("IN-34",'Assumptions &amp; Inputs'!$A$31:$F$69,3,FALSE),0)</f>
        <v>6415</v>
      </c>
      <c r="BF60" s="28">
        <f>IF(BD60="Yes",(AU60+AX60)*VLOOKUP("IN-34",'Assumptions &amp; Inputs'!$A$31:$F$69,4,FALSE),0)</f>
        <v>20745</v>
      </c>
      <c r="BG60" s="28">
        <f>IF(BD60="Yes",(AV60+AY60)*VLOOKUP("IN-34",'Assumptions &amp; Inputs'!$A$31:$F$69,5,FALSE),0)</f>
        <v>80235</v>
      </c>
      <c r="BH60" s="28">
        <f t="shared" si="27"/>
        <v>158205</v>
      </c>
      <c r="BI60" s="28">
        <f t="shared" si="28"/>
        <v>344325</v>
      </c>
      <c r="BJ60" s="29">
        <f t="shared" si="29"/>
        <v>685605</v>
      </c>
      <c r="BK60" s="58" t="s">
        <v>548</v>
      </c>
      <c r="BL60" s="58" t="s">
        <v>549</v>
      </c>
      <c r="BM60" s="58" t="s">
        <v>1115</v>
      </c>
      <c r="BN60" s="58" t="s">
        <v>550</v>
      </c>
      <c r="BO60" s="5">
        <f t="shared" si="30"/>
        <v>0</v>
      </c>
      <c r="BP60" s="5">
        <f t="shared" si="31"/>
        <v>0</v>
      </c>
      <c r="BQ60" s="5">
        <f t="shared" si="32"/>
        <v>0</v>
      </c>
      <c r="BR60" s="5">
        <f t="shared" si="33"/>
        <v>0</v>
      </c>
      <c r="BS60" s="5">
        <f t="shared" si="34"/>
        <v>1</v>
      </c>
      <c r="BT60" s="5">
        <f t="shared" si="35"/>
        <v>1</v>
      </c>
      <c r="BU60" s="4">
        <f>IF(BO60=1,((AI60+(IF(R60="IN-07",'Assumptions &amp; Inputs'!$C$66,AF60))*AL60)*AS60)+AW60+(((AI60+(IF(R60="IN-07",'Assumptions &amp; Inputs'!$C$66,AF60))*AL60)*AS60)*AZ60)+IF(BD60="Yes",(((AI60+(IF(R60="IN-07",'Assumptions &amp; Inputs'!$C$66,AF60))*AL60)*AS60)+AW60)*VLOOKUP("IN-34",'Assumptions &amp; Inputs'!$A$31:$F$69,3,FALSE),0),0)</f>
        <v>0</v>
      </c>
      <c r="BV60" s="4">
        <f>IF(BO60=1,((AJ60+(IF(R60="IN-07",'Assumptions &amp; Inputs'!$D$66,AG60))*AM60)*AS60)+AX60+(((AJ60+(IF(R60="IN-07",'Assumptions &amp; Inputs'!$D$66,AG60))*AM60)*AS60)*AZ60)+IF(BD60="Yes",(((AJ60+(IF(R60="IN-07",'Assumptions &amp; Inputs'!$D$66,AG60))*AM60)*AS60)+AX60)*VLOOKUP("IN-34",'Assumptions &amp; Inputs'!$A$31:$F$69,4,FALSE),0),0)</f>
        <v>0</v>
      </c>
      <c r="BW60" s="4">
        <f>IF(BO60=1,((AK60+(IF(R60="IN-07",'Assumptions &amp; Inputs'!$E$66,AH60))*AN60)*AS60)+AY60+(((AK60+(IF(R60="IN-07",'Assumptions &amp; Inputs'!$E$66,AH60))*AN60)*AS60)*AZ60)+IF(BD60="Yes",(((AK60+(IF(R60="IN-07",'Assumptions &amp; Inputs'!$E$66,AH60))*AN60)*AS60)+AY60)*VLOOKUP("IN-34",'Assumptions &amp; Inputs'!$A$31:$F$69,5,FALSE),0),0)</f>
        <v>0</v>
      </c>
      <c r="BX60" s="4">
        <f>IF(BP60=1,((AI60+(IF(R60="IN-07",'Assumptions &amp; Inputs'!$C$66,AF60))*AL60)*AS60)+AW60+(((AI60+(IF(R60="IN-07",'Assumptions &amp; Inputs'!$C$66,AF60))*AL60)*AS60)*AZ60)+IF(BD60="Yes",(((AI60+(IF(R60="IN-07",'Assumptions &amp; Inputs'!$C$66,AF60))*AL60)*AS60)+AW60)*VLOOKUP("IN-34",'Assumptions &amp; Inputs'!$A$31:$F$69,3,FALSE),0),0)</f>
        <v>0</v>
      </c>
      <c r="BY60" s="4">
        <f>IF(BP60=1,((AJ60+(IF(R60="IN-07",'Assumptions &amp; Inputs'!$D$66,AG60))*AM60)*AS60)+AX60+(((AJ60+(IF(R60="IN-07",'Assumptions &amp; Inputs'!$D$66,AG60))*AM60)*AS60)*AZ60)+IF(BD60="Yes",(((AJ60+(IF(R60="IN-07",'Assumptions &amp; Inputs'!$D$66,AG60))*AM60)*AS60)+AX60)*VLOOKUP("IN-34",'Assumptions &amp; Inputs'!$A$31:$F$69,4,FALSE),0),0)</f>
        <v>0</v>
      </c>
      <c r="BZ60" s="4">
        <f>IF(BP60=1,((AK60+(IF(R60="IN-07",'Assumptions &amp; Inputs'!$E$66,AH60))*AN60)*AS60)+AY60+(((AK60+(IF(R60="IN-07",'Assumptions &amp; Inputs'!$E$66,AH60))*AN60)*AS60)*AZ60)+IF(BD60="Yes",(((AK60+(IF(R60="IN-07",'Assumptions &amp; Inputs'!$E$66,AH60))*AN60)*AS60)+AY60)*VLOOKUP("IN-34",'Assumptions &amp; Inputs'!$A$31:$F$69,5,FALSE),0),0)</f>
        <v>0</v>
      </c>
      <c r="CA60" s="4">
        <f>IF(BQ60=1,((AI60+(IF(R60="IN-07",'Assumptions &amp; Inputs'!$C$65,AF60))*AL60)*AS60)+AW60+(((AI60+(IF(R60="IN-07",'Assumptions &amp; Inputs'!$C$65,AF60))*AL60)*AS60)*AZ60)+IF(BD60="Yes",(((AI60+(IF(R60="IN-07",'Assumptions &amp; Inputs'!$C$65,AF60))*AL60)*AS60)+AW60)*VLOOKUP("IN-34",'Assumptions &amp; Inputs'!$A$31:$F$69,3,FALSE),0),0)</f>
        <v>0</v>
      </c>
      <c r="CB60" s="4">
        <f>IF(BQ60=1,((AJ60+(IF(R60="IN-07",'Assumptions &amp; Inputs'!$D$65,AG60))*AM60)*AS60)+AX60+(((AJ60+(IF(R60="IN-07",'Assumptions &amp; Inputs'!$D$65,AG60))*AM60)*AS60)*AZ60)+IF(BD60="Yes",(((AJ60+(IF(R60="IN-07",'Assumptions &amp; Inputs'!$D$65,AG60))*AM60)*AS60)+AX60)*VLOOKUP("IN-34",'Assumptions &amp; Inputs'!$A$31:$F$69,4,FALSE),0),0)</f>
        <v>0</v>
      </c>
      <c r="CC60" s="4">
        <f>IF(BQ60=1,((AK60+(IF(R60="IN-07",'Assumptions &amp; Inputs'!$E$65,AH60))*AN60)*AS60)+AY60+(((AK60+(IF(R60="IN-07",'Assumptions &amp; Inputs'!$E$65,AH60))*AN60)*AS60)*AZ60)+IF(BD60="Yes",(((AK60+(IF(R60="IN-07",'Assumptions &amp; Inputs'!$E$65,AH60))*AN60)*AS60)+AY60)*VLOOKUP("IN-34",'Assumptions &amp; Inputs'!$A$31:$F$69,5,FALSE),0),0)</f>
        <v>0</v>
      </c>
      <c r="CD60" s="4">
        <f>IF(BR60=1,((AI60+(IF(R60="IN-07",'Assumptions &amp; Inputs'!$C$65,AF60))*AL60)*AS60)+AW60+(((AI60+(IF(R60="IN-07",'Assumptions &amp; Inputs'!$C$65,AF60))*AL60)*AS60)*AZ60)+IF(BD60="Yes",(((AI60+(IF(R60="IN-07",'Assumptions &amp; Inputs'!$C$65,AF60))*AL60)*AS60)+AW60)*VLOOKUP("IN-34",'Assumptions &amp; Inputs'!$A$31:$F$69,3,FALSE),0),0)</f>
        <v>0</v>
      </c>
      <c r="CE60" s="4">
        <f>IF(BR60=1,((AJ60+(IF(R60="IN-07",'Assumptions &amp; Inputs'!$D$65,AG60))*AM60)*AS60)+AX60+(((AJ60+(IF(R60="IN-07",'Assumptions &amp; Inputs'!$D$65,AG60))*AM60)*AS60)*AZ60)+IF(BD60="Yes",(((AJ60+(IF(R60="IN-07",'Assumptions &amp; Inputs'!$D$65,AG60))*AM60)*AS60)+AX60)*VLOOKUP("IN-34",'Assumptions &amp; Inputs'!$A$31:$F$69,4,FALSE),0),0)</f>
        <v>0</v>
      </c>
      <c r="CF60" s="4">
        <f>IF(BR60=1,((AK60+(IF(R60="IN-07",'Assumptions &amp; Inputs'!$E$65,AH60))*AN60)*AS60)+AY60+(((AK60+(IF(R60="IN-07",'Assumptions &amp; Inputs'!$E$65,AH60))*AN60)*AS60)*AZ60)+IF(BD60="Yes",(((AK60+(IF(R60="IN-07",'Assumptions &amp; Inputs'!$E$65,AH60))*AN60)*AS60)+AY60)*VLOOKUP("IN-34",'Assumptions &amp; Inputs'!$A$31:$F$69,5,FALSE),0),0)</f>
        <v>0</v>
      </c>
      <c r="CG60" s="4">
        <f>IF(BS60=1,((AI60+(IF(R60="IN-07",0,AF60))*AL60)*AS60)+AW60+(((AI60+(IF(R60="IN-07",0,AF60))*AL60)*AS60)*AZ60)+IF(BD60="Yes",(((AI60+(IF(R60="IN-07",0,AF60))*AL60)*AS60)+AW60)*VLOOKUP("IN-34",'Assumptions &amp; Inputs'!$A$31:$F$69,3,FALSE),0),0)</f>
        <v>158205</v>
      </c>
      <c r="CH60" s="4">
        <f>IF(BS60=1,((AJ60+(IF(R60="IN-07",0,AG60))*AM60)*AS60)+AX60+(((AJ60+(IF(R60="IN-07",0,AG60))*AM60)*AS60)*AZ60)+IF(BD60="Yes",(((AJ60+(IF(R60="IN-07",0,AG60))*AM60)*AS60)+AX60)*VLOOKUP("IN-34",'Assumptions &amp; Inputs'!$A$31:$F$69,4,FALSE),0),0)</f>
        <v>344325</v>
      </c>
      <c r="CI60" s="4">
        <f>IF(BS60=1,((AK60+(IF(R60="IN-07",0,AH60))*AN60)*AS60)+AY60+(((AK60+(IF(R60="IN-07",0,AH60))*AN60)*AS60)*AZ60)+IF(BD60="Yes",(((AK60+(IF(R60="IN-07",0,AH60))*AN60)*AS60)+AY60)*VLOOKUP("IN-34",'Assumptions &amp; Inputs'!$A$31:$F$69,5,FALSE),0),0)</f>
        <v>685605</v>
      </c>
      <c r="CJ60" s="4">
        <f>IF(BT60=1,((AI60+(IF(R60="IN-07",0,AF60))*AL60)*AS60)+AW60+(((AI60+(IF(R60="IN-07",0,AF60))*AL60)*AS60)*AZ60)+IF(BD60="Yes",(((AI60+(IF(R60="IN-07",0,AF60))*AL60)*AS60)+AW60)*VLOOKUP("IN-34",'Assumptions &amp; Inputs'!$A$31:$F$69,3,FALSE),0),0)</f>
        <v>158205</v>
      </c>
      <c r="CK60" s="4">
        <f>IF(BT60=1,((AJ60+(IF(R60="IN-07",0,AG60))*AM60)*AS60)+AX60+(((AJ60+(IF(R60="IN-07",0,AG60))*AM60)*AS60)*AZ60)+IF(BD60="Yes",(((AJ60+(IF(R60="IN-07",0,AG60))*AM60)*AS60)+AX60)*VLOOKUP("IN-34",'Assumptions &amp; Inputs'!$A$31:$F$69,4,FALSE),0),0)</f>
        <v>344325</v>
      </c>
      <c r="CL60" s="4">
        <f>IF(BT60=1,((AK60+(IF(R60="IN-07",0,AH60))*AN60)*AS60)+AY60+(((AK60+(IF(R60="IN-07",0,AH60))*AN60)*AS60)*AZ60)+IF(BD60="Yes",(((AK60+(IF(R60="IN-07",0,AH60))*AN60)*AS60)+AY60)*VLOOKUP("IN-34",'Assumptions &amp; Inputs'!$A$31:$F$69,5,FALSE),0),0)</f>
        <v>685605</v>
      </c>
    </row>
    <row r="61" spans="1:90" ht="43.5" x14ac:dyDescent="0.35">
      <c r="A61" s="51" t="s">
        <v>1241</v>
      </c>
      <c r="B61" s="51" t="s">
        <v>1242</v>
      </c>
      <c r="C61" s="51" t="s">
        <v>49</v>
      </c>
      <c r="D61" s="51" t="s">
        <v>59</v>
      </c>
      <c r="E61" s="51" t="s">
        <v>1243</v>
      </c>
      <c r="F61" s="51" t="s">
        <v>1244</v>
      </c>
      <c r="G61" s="51" t="s">
        <v>1245</v>
      </c>
      <c r="H61" s="51" t="s">
        <v>1246</v>
      </c>
      <c r="I61" s="51" t="s">
        <v>158</v>
      </c>
      <c r="J61" s="51" t="s">
        <v>1247</v>
      </c>
      <c r="K61" s="51" t="s">
        <v>1248</v>
      </c>
      <c r="L61" s="51" t="s">
        <v>49</v>
      </c>
      <c r="M61" s="51" t="s">
        <v>532</v>
      </c>
      <c r="N61" s="51" t="s">
        <v>160</v>
      </c>
      <c r="O61" s="51" t="s">
        <v>813</v>
      </c>
      <c r="P61" s="51" t="s">
        <v>556</v>
      </c>
      <c r="Q61" s="51" t="s">
        <v>785</v>
      </c>
      <c r="R61" s="51" t="s">
        <v>348</v>
      </c>
      <c r="S61" s="51" t="s">
        <v>717</v>
      </c>
      <c r="T61" s="51" t="s">
        <v>786</v>
      </c>
      <c r="U61" s="51" t="s">
        <v>1249</v>
      </c>
      <c r="V61" s="51" t="s">
        <v>1126</v>
      </c>
      <c r="W61" s="51" t="s">
        <v>540</v>
      </c>
      <c r="X61" s="51" t="s">
        <v>1092</v>
      </c>
      <c r="Y61" s="51" t="s">
        <v>188</v>
      </c>
      <c r="Z61" s="51" t="s">
        <v>543</v>
      </c>
      <c r="AA61" s="51" t="s">
        <v>789</v>
      </c>
      <c r="AB61" s="51" t="s">
        <v>545</v>
      </c>
      <c r="AC61" s="51" t="s">
        <v>1250</v>
      </c>
      <c r="AD61" s="51" t="s">
        <v>791</v>
      </c>
      <c r="AE61" s="20">
        <f>IF(ISNUMBER(SEARCH('Scenario Definitions'!$C$5,N61)),1,0)</f>
        <v>1</v>
      </c>
      <c r="AF61" s="20">
        <f>IFERROR(VLOOKUP(R61,'Assumptions &amp; Inputs'!$A$31:$F$69,3,FALSE),0)</f>
        <v>3</v>
      </c>
      <c r="AG61" s="20">
        <f>IFERROR(VLOOKUP(R61,'Assumptions &amp; Inputs'!$A$31:$F$69,4,FALSE),0)</f>
        <v>4</v>
      </c>
      <c r="AH61" s="21">
        <f>IFERROR(VLOOKUP(R61,'Assumptions &amp; Inputs'!$A$31:$F$69,5,FALSE),0)</f>
        <v>6</v>
      </c>
      <c r="AI61" s="11">
        <v>0</v>
      </c>
      <c r="AJ61" s="11">
        <v>0</v>
      </c>
      <c r="AK61" s="11">
        <v>0</v>
      </c>
      <c r="AL61" s="11">
        <v>18</v>
      </c>
      <c r="AM61" s="11">
        <v>24</v>
      </c>
      <c r="AN61" s="11">
        <v>36</v>
      </c>
      <c r="AO61" s="38">
        <f t="shared" si="18"/>
        <v>54</v>
      </c>
      <c r="AP61" s="20">
        <f t="shared" si="19"/>
        <v>96</v>
      </c>
      <c r="AQ61" s="21">
        <f t="shared" si="20"/>
        <v>216</v>
      </c>
      <c r="AR61" s="58" t="s">
        <v>426</v>
      </c>
      <c r="AS61" s="34">
        <f>IFERROR(VLOOKUP(AR61,'Assumptions &amp; Inputs'!$A$73:$I$100,9,FALSE),0)</f>
        <v>105</v>
      </c>
      <c r="AT61" s="28">
        <f t="shared" si="21"/>
        <v>5670</v>
      </c>
      <c r="AU61" s="28">
        <f t="shared" si="22"/>
        <v>10080</v>
      </c>
      <c r="AV61" s="29">
        <f t="shared" si="23"/>
        <v>22680</v>
      </c>
      <c r="AW61" s="57">
        <v>2000</v>
      </c>
      <c r="AX61" s="57">
        <v>6000</v>
      </c>
      <c r="AY61" s="57">
        <v>15000</v>
      </c>
      <c r="AZ61" s="34">
        <f>IFERROR(VLOOKUP(C61,'Assumptions &amp; Inputs'!$A$104:$B$107,2,FALSE),0)</f>
        <v>0.3</v>
      </c>
      <c r="BA61" s="28">
        <f t="shared" si="24"/>
        <v>1701</v>
      </c>
      <c r="BB61" s="28">
        <f t="shared" si="25"/>
        <v>3024</v>
      </c>
      <c r="BC61" s="29">
        <f t="shared" si="26"/>
        <v>6804</v>
      </c>
      <c r="BD61" s="57" t="s">
        <v>209</v>
      </c>
      <c r="BE61" s="34">
        <f>IF(BD61="Yes",(AT61+AW61)*VLOOKUP("IN-34",'Assumptions &amp; Inputs'!$A$31:$F$69,3,FALSE),0)</f>
        <v>383.5</v>
      </c>
      <c r="BF61" s="28">
        <f>IF(BD61="Yes",(AU61+AX61)*VLOOKUP("IN-34",'Assumptions &amp; Inputs'!$A$31:$F$69,4,FALSE),0)</f>
        <v>1206</v>
      </c>
      <c r="BG61" s="28">
        <f>IF(BD61="Yes",(AV61+AY61)*VLOOKUP("IN-34",'Assumptions &amp; Inputs'!$A$31:$F$69,5,FALSE),0)</f>
        <v>5652</v>
      </c>
      <c r="BH61" s="28">
        <f t="shared" si="27"/>
        <v>9754.5</v>
      </c>
      <c r="BI61" s="28">
        <f t="shared" si="28"/>
        <v>20310</v>
      </c>
      <c r="BJ61" s="29">
        <f t="shared" si="29"/>
        <v>50136</v>
      </c>
      <c r="BK61" s="58" t="s">
        <v>548</v>
      </c>
      <c r="BL61" s="58" t="s">
        <v>549</v>
      </c>
      <c r="BM61" s="58" t="s">
        <v>789</v>
      </c>
      <c r="BN61" s="58" t="s">
        <v>550</v>
      </c>
      <c r="BO61" s="5">
        <f t="shared" si="30"/>
        <v>0</v>
      </c>
      <c r="BP61" s="5">
        <f t="shared" si="31"/>
        <v>0</v>
      </c>
      <c r="BQ61" s="5">
        <f t="shared" si="32"/>
        <v>1</v>
      </c>
      <c r="BR61" s="5">
        <f t="shared" si="33"/>
        <v>1</v>
      </c>
      <c r="BS61" s="5">
        <f t="shared" si="34"/>
        <v>1</v>
      </c>
      <c r="BT61" s="5">
        <f t="shared" si="35"/>
        <v>1</v>
      </c>
      <c r="BU61" s="4">
        <f>IF(BO61=1,((AI61+(IF(R61="IN-07",'Assumptions &amp; Inputs'!$C$66,AF61))*AL61)*AS61)+AW61+(((AI61+(IF(R61="IN-07",'Assumptions &amp; Inputs'!$C$66,AF61))*AL61)*AS61)*AZ61)+IF(BD61="Yes",(((AI61+(IF(R61="IN-07",'Assumptions &amp; Inputs'!$C$66,AF61))*AL61)*AS61)+AW61)*VLOOKUP("IN-34",'Assumptions &amp; Inputs'!$A$31:$F$69,3,FALSE),0),0)</f>
        <v>0</v>
      </c>
      <c r="BV61" s="4">
        <f>IF(BO61=1,((AJ61+(IF(R61="IN-07",'Assumptions &amp; Inputs'!$D$66,AG61))*AM61)*AS61)+AX61+(((AJ61+(IF(R61="IN-07",'Assumptions &amp; Inputs'!$D$66,AG61))*AM61)*AS61)*AZ61)+IF(BD61="Yes",(((AJ61+(IF(R61="IN-07",'Assumptions &amp; Inputs'!$D$66,AG61))*AM61)*AS61)+AX61)*VLOOKUP("IN-34",'Assumptions &amp; Inputs'!$A$31:$F$69,4,FALSE),0),0)</f>
        <v>0</v>
      </c>
      <c r="BW61" s="4">
        <f>IF(BO61=1,((AK61+(IF(R61="IN-07",'Assumptions &amp; Inputs'!$E$66,AH61))*AN61)*AS61)+AY61+(((AK61+(IF(R61="IN-07",'Assumptions &amp; Inputs'!$E$66,AH61))*AN61)*AS61)*AZ61)+IF(BD61="Yes",(((AK61+(IF(R61="IN-07",'Assumptions &amp; Inputs'!$E$66,AH61))*AN61)*AS61)+AY61)*VLOOKUP("IN-34",'Assumptions &amp; Inputs'!$A$31:$F$69,5,FALSE),0),0)</f>
        <v>0</v>
      </c>
      <c r="BX61" s="4">
        <f>IF(BP61=1,((AI61+(IF(R61="IN-07",'Assumptions &amp; Inputs'!$C$66,AF61))*AL61)*AS61)+AW61+(((AI61+(IF(R61="IN-07",'Assumptions &amp; Inputs'!$C$66,AF61))*AL61)*AS61)*AZ61)+IF(BD61="Yes",(((AI61+(IF(R61="IN-07",'Assumptions &amp; Inputs'!$C$66,AF61))*AL61)*AS61)+AW61)*VLOOKUP("IN-34",'Assumptions &amp; Inputs'!$A$31:$F$69,3,FALSE),0),0)</f>
        <v>0</v>
      </c>
      <c r="BY61" s="4">
        <f>IF(BP61=1,((AJ61+(IF(R61="IN-07",'Assumptions &amp; Inputs'!$D$66,AG61))*AM61)*AS61)+AX61+(((AJ61+(IF(R61="IN-07",'Assumptions &amp; Inputs'!$D$66,AG61))*AM61)*AS61)*AZ61)+IF(BD61="Yes",(((AJ61+(IF(R61="IN-07",'Assumptions &amp; Inputs'!$D$66,AG61))*AM61)*AS61)+AX61)*VLOOKUP("IN-34",'Assumptions &amp; Inputs'!$A$31:$F$69,4,FALSE),0),0)</f>
        <v>0</v>
      </c>
      <c r="BZ61" s="4">
        <f>IF(BP61=1,((AK61+(IF(R61="IN-07",'Assumptions &amp; Inputs'!$E$66,AH61))*AN61)*AS61)+AY61+(((AK61+(IF(R61="IN-07",'Assumptions &amp; Inputs'!$E$66,AH61))*AN61)*AS61)*AZ61)+IF(BD61="Yes",(((AK61+(IF(R61="IN-07",'Assumptions &amp; Inputs'!$E$66,AH61))*AN61)*AS61)+AY61)*VLOOKUP("IN-34",'Assumptions &amp; Inputs'!$A$31:$F$69,5,FALSE),0),0)</f>
        <v>0</v>
      </c>
      <c r="CA61" s="4">
        <f>IF(BQ61=1,((AI61+(IF(R61="IN-07",'Assumptions &amp; Inputs'!$C$65,AF61))*AL61)*AS61)+AW61+(((AI61+(IF(R61="IN-07",'Assumptions &amp; Inputs'!$C$65,AF61))*AL61)*AS61)*AZ61)+IF(BD61="Yes",(((AI61+(IF(R61="IN-07",'Assumptions &amp; Inputs'!$C$65,AF61))*AL61)*AS61)+AW61)*VLOOKUP("IN-34",'Assumptions &amp; Inputs'!$A$31:$F$69,3,FALSE),0),0)</f>
        <v>9754.5</v>
      </c>
      <c r="CB61" s="4">
        <f>IF(BQ61=1,((AJ61+(IF(R61="IN-07",'Assumptions &amp; Inputs'!$D$65,AG61))*AM61)*AS61)+AX61+(((AJ61+(IF(R61="IN-07",'Assumptions &amp; Inputs'!$D$65,AG61))*AM61)*AS61)*AZ61)+IF(BD61="Yes",(((AJ61+(IF(R61="IN-07",'Assumptions &amp; Inputs'!$D$65,AG61))*AM61)*AS61)+AX61)*VLOOKUP("IN-34",'Assumptions &amp; Inputs'!$A$31:$F$69,4,FALSE),0),0)</f>
        <v>20310</v>
      </c>
      <c r="CC61" s="4">
        <f>IF(BQ61=1,((AK61+(IF(R61="IN-07",'Assumptions &amp; Inputs'!$E$65,AH61))*AN61)*AS61)+AY61+(((AK61+(IF(R61="IN-07",'Assumptions &amp; Inputs'!$E$65,AH61))*AN61)*AS61)*AZ61)+IF(BD61="Yes",(((AK61+(IF(R61="IN-07",'Assumptions &amp; Inputs'!$E$65,AH61))*AN61)*AS61)+AY61)*VLOOKUP("IN-34",'Assumptions &amp; Inputs'!$A$31:$F$69,5,FALSE),0),0)</f>
        <v>50136</v>
      </c>
      <c r="CD61" s="4">
        <f>IF(BR61=1,((AI61+(IF(R61="IN-07",'Assumptions &amp; Inputs'!$C$65,AF61))*AL61)*AS61)+AW61+(((AI61+(IF(R61="IN-07",'Assumptions &amp; Inputs'!$C$65,AF61))*AL61)*AS61)*AZ61)+IF(BD61="Yes",(((AI61+(IF(R61="IN-07",'Assumptions &amp; Inputs'!$C$65,AF61))*AL61)*AS61)+AW61)*VLOOKUP("IN-34",'Assumptions &amp; Inputs'!$A$31:$F$69,3,FALSE),0),0)</f>
        <v>9754.5</v>
      </c>
      <c r="CE61" s="4">
        <f>IF(BR61=1,((AJ61+(IF(R61="IN-07",'Assumptions &amp; Inputs'!$D$65,AG61))*AM61)*AS61)+AX61+(((AJ61+(IF(R61="IN-07",'Assumptions &amp; Inputs'!$D$65,AG61))*AM61)*AS61)*AZ61)+IF(BD61="Yes",(((AJ61+(IF(R61="IN-07",'Assumptions &amp; Inputs'!$D$65,AG61))*AM61)*AS61)+AX61)*VLOOKUP("IN-34",'Assumptions &amp; Inputs'!$A$31:$F$69,4,FALSE),0),0)</f>
        <v>20310</v>
      </c>
      <c r="CF61" s="4">
        <f>IF(BR61=1,((AK61+(IF(R61="IN-07",'Assumptions &amp; Inputs'!$E$65,AH61))*AN61)*AS61)+AY61+(((AK61+(IF(R61="IN-07",'Assumptions &amp; Inputs'!$E$65,AH61))*AN61)*AS61)*AZ61)+IF(BD61="Yes",(((AK61+(IF(R61="IN-07",'Assumptions &amp; Inputs'!$E$65,AH61))*AN61)*AS61)+AY61)*VLOOKUP("IN-34",'Assumptions &amp; Inputs'!$A$31:$F$69,5,FALSE),0),0)</f>
        <v>50136</v>
      </c>
      <c r="CG61" s="4">
        <f>IF(BS61=1,((AI61+(IF(R61="IN-07",0,AF61))*AL61)*AS61)+AW61+(((AI61+(IF(R61="IN-07",0,AF61))*AL61)*AS61)*AZ61)+IF(BD61="Yes",(((AI61+(IF(R61="IN-07",0,AF61))*AL61)*AS61)+AW61)*VLOOKUP("IN-34",'Assumptions &amp; Inputs'!$A$31:$F$69,3,FALSE),0),0)</f>
        <v>9754.5</v>
      </c>
      <c r="CH61" s="4">
        <f>IF(BS61=1,((AJ61+(IF(R61="IN-07",0,AG61))*AM61)*AS61)+AX61+(((AJ61+(IF(R61="IN-07",0,AG61))*AM61)*AS61)*AZ61)+IF(BD61="Yes",(((AJ61+(IF(R61="IN-07",0,AG61))*AM61)*AS61)+AX61)*VLOOKUP("IN-34",'Assumptions &amp; Inputs'!$A$31:$F$69,4,FALSE),0),0)</f>
        <v>20310</v>
      </c>
      <c r="CI61" s="4">
        <f>IF(BS61=1,((AK61+(IF(R61="IN-07",0,AH61))*AN61)*AS61)+AY61+(((AK61+(IF(R61="IN-07",0,AH61))*AN61)*AS61)*AZ61)+IF(BD61="Yes",(((AK61+(IF(R61="IN-07",0,AH61))*AN61)*AS61)+AY61)*VLOOKUP("IN-34",'Assumptions &amp; Inputs'!$A$31:$F$69,5,FALSE),0),0)</f>
        <v>50136</v>
      </c>
      <c r="CJ61" s="4">
        <f>IF(BT61=1,((AI61+(IF(R61="IN-07",0,AF61))*AL61)*AS61)+AW61+(((AI61+(IF(R61="IN-07",0,AF61))*AL61)*AS61)*AZ61)+IF(BD61="Yes",(((AI61+(IF(R61="IN-07",0,AF61))*AL61)*AS61)+AW61)*VLOOKUP("IN-34",'Assumptions &amp; Inputs'!$A$31:$F$69,3,FALSE),0),0)</f>
        <v>9754.5</v>
      </c>
      <c r="CK61" s="4">
        <f>IF(BT61=1,((AJ61+(IF(R61="IN-07",0,AG61))*AM61)*AS61)+AX61+(((AJ61+(IF(R61="IN-07",0,AG61))*AM61)*AS61)*AZ61)+IF(BD61="Yes",(((AJ61+(IF(R61="IN-07",0,AG61))*AM61)*AS61)+AX61)*VLOOKUP("IN-34",'Assumptions &amp; Inputs'!$A$31:$F$69,4,FALSE),0),0)</f>
        <v>20310</v>
      </c>
      <c r="CL61" s="4">
        <f>IF(BT61=1,((AK61+(IF(R61="IN-07",0,AH61))*AN61)*AS61)+AY61+(((AK61+(IF(R61="IN-07",0,AH61))*AN61)*AS61)*AZ61)+IF(BD61="Yes",(((AK61+(IF(R61="IN-07",0,AH61))*AN61)*AS61)+AY61)*VLOOKUP("IN-34",'Assumptions &amp; Inputs'!$A$31:$F$69,5,FALSE),0),0)</f>
        <v>50136</v>
      </c>
    </row>
    <row r="62" spans="1:90" ht="43.5" x14ac:dyDescent="0.35">
      <c r="A62" s="51" t="s">
        <v>1251</v>
      </c>
      <c r="B62" s="51" t="s">
        <v>1252</v>
      </c>
      <c r="C62" s="51" t="s">
        <v>49</v>
      </c>
      <c r="D62" s="51" t="s">
        <v>59</v>
      </c>
      <c r="E62" s="51" t="s">
        <v>1253</v>
      </c>
      <c r="F62" s="51" t="s">
        <v>1254</v>
      </c>
      <c r="G62" s="51" t="s">
        <v>1255</v>
      </c>
      <c r="H62" s="51" t="s">
        <v>1256</v>
      </c>
      <c r="I62" s="51" t="s">
        <v>49</v>
      </c>
      <c r="J62" s="51" t="s">
        <v>1109</v>
      </c>
      <c r="K62" s="51" t="s">
        <v>1257</v>
      </c>
      <c r="L62" s="51" t="s">
        <v>49</v>
      </c>
      <c r="M62" s="51" t="s">
        <v>532</v>
      </c>
      <c r="N62" s="51" t="s">
        <v>160</v>
      </c>
      <c r="O62" s="51" t="s">
        <v>813</v>
      </c>
      <c r="P62" s="51" t="s">
        <v>876</v>
      </c>
      <c r="Q62" s="51" t="s">
        <v>1204</v>
      </c>
      <c r="R62" s="51" t="s">
        <v>301</v>
      </c>
      <c r="S62" s="51" t="s">
        <v>877</v>
      </c>
      <c r="T62" s="51" t="s">
        <v>537</v>
      </c>
      <c r="U62" s="51" t="s">
        <v>1258</v>
      </c>
      <c r="V62" s="51" t="s">
        <v>1126</v>
      </c>
      <c r="W62" s="51" t="s">
        <v>540</v>
      </c>
      <c r="X62" s="51" t="s">
        <v>817</v>
      </c>
      <c r="Y62" s="51" t="s">
        <v>1102</v>
      </c>
      <c r="Z62" s="51" t="s">
        <v>543</v>
      </c>
      <c r="AA62" s="51" t="s">
        <v>789</v>
      </c>
      <c r="AB62" s="51" t="s">
        <v>545</v>
      </c>
      <c r="AC62" s="51" t="s">
        <v>1259</v>
      </c>
      <c r="AD62" s="51" t="s">
        <v>804</v>
      </c>
      <c r="AE62" s="20">
        <f>IF(ISNUMBER(SEARCH('Scenario Definitions'!$C$5,N62)),1,0)</f>
        <v>1</v>
      </c>
      <c r="AF62" s="20">
        <f>IFERROR(VLOOKUP(R62,'Assumptions &amp; Inputs'!$A$31:$F$69,3,FALSE),0)</f>
        <v>5</v>
      </c>
      <c r="AG62" s="20">
        <f>IFERROR(VLOOKUP(R62,'Assumptions &amp; Inputs'!$A$31:$F$69,4,FALSE),0)</f>
        <v>10</v>
      </c>
      <c r="AH62" s="21">
        <f>IFERROR(VLOOKUP(R62,'Assumptions &amp; Inputs'!$A$31:$F$69,5,FALSE),0)</f>
        <v>20</v>
      </c>
      <c r="AI62" s="11">
        <v>30</v>
      </c>
      <c r="AJ62" s="11">
        <v>40</v>
      </c>
      <c r="AK62" s="11">
        <v>60</v>
      </c>
      <c r="AL62" s="11">
        <v>12</v>
      </c>
      <c r="AM62" s="11">
        <v>16</v>
      </c>
      <c r="AN62" s="11">
        <v>24</v>
      </c>
      <c r="AO62" s="38">
        <f t="shared" si="18"/>
        <v>90</v>
      </c>
      <c r="AP62" s="20">
        <f t="shared" si="19"/>
        <v>200</v>
      </c>
      <c r="AQ62" s="21">
        <f t="shared" si="20"/>
        <v>540</v>
      </c>
      <c r="AR62" s="58" t="s">
        <v>423</v>
      </c>
      <c r="AS62" s="34">
        <f>IFERROR(VLOOKUP(AR62,'Assumptions &amp; Inputs'!$A$73:$I$100,9,FALSE),0)</f>
        <v>125</v>
      </c>
      <c r="AT62" s="28">
        <f t="shared" si="21"/>
        <v>11250</v>
      </c>
      <c r="AU62" s="28">
        <f t="shared" si="22"/>
        <v>25000</v>
      </c>
      <c r="AV62" s="29">
        <f t="shared" si="23"/>
        <v>67500</v>
      </c>
      <c r="AW62" s="57">
        <v>0</v>
      </c>
      <c r="AX62" s="57">
        <v>0</v>
      </c>
      <c r="AY62" s="57">
        <v>0</v>
      </c>
      <c r="AZ62" s="34">
        <f>IFERROR(VLOOKUP(C62,'Assumptions &amp; Inputs'!$A$104:$B$107,2,FALSE),0)</f>
        <v>0.3</v>
      </c>
      <c r="BA62" s="28">
        <f t="shared" si="24"/>
        <v>3375</v>
      </c>
      <c r="BB62" s="28">
        <f t="shared" si="25"/>
        <v>7500</v>
      </c>
      <c r="BC62" s="29">
        <f t="shared" si="26"/>
        <v>20250</v>
      </c>
      <c r="BD62" s="57" t="s">
        <v>209</v>
      </c>
      <c r="BE62" s="34">
        <f>IF(BD62="Yes",(AT62+AW62)*VLOOKUP("IN-34",'Assumptions &amp; Inputs'!$A$31:$F$69,3,FALSE),0)</f>
        <v>562.5</v>
      </c>
      <c r="BF62" s="28">
        <f>IF(BD62="Yes",(AU62+AX62)*VLOOKUP("IN-34",'Assumptions &amp; Inputs'!$A$31:$F$69,4,FALSE),0)</f>
        <v>1875</v>
      </c>
      <c r="BG62" s="28">
        <f>IF(BD62="Yes",(AV62+AY62)*VLOOKUP("IN-34",'Assumptions &amp; Inputs'!$A$31:$F$69,5,FALSE),0)</f>
        <v>10125</v>
      </c>
      <c r="BH62" s="28">
        <f t="shared" si="27"/>
        <v>15187.5</v>
      </c>
      <c r="BI62" s="28">
        <f t="shared" si="28"/>
        <v>34375</v>
      </c>
      <c r="BJ62" s="29">
        <f t="shared" si="29"/>
        <v>97875</v>
      </c>
      <c r="BK62" s="58" t="s">
        <v>548</v>
      </c>
      <c r="BL62" s="58" t="s">
        <v>549</v>
      </c>
      <c r="BM62" s="58" t="s">
        <v>789</v>
      </c>
      <c r="BN62" s="58" t="s">
        <v>550</v>
      </c>
      <c r="BO62" s="5">
        <f t="shared" si="30"/>
        <v>0</v>
      </c>
      <c r="BP62" s="5">
        <f t="shared" si="31"/>
        <v>0</v>
      </c>
      <c r="BQ62" s="5">
        <f t="shared" si="32"/>
        <v>1</v>
      </c>
      <c r="BR62" s="5">
        <f t="shared" si="33"/>
        <v>1</v>
      </c>
      <c r="BS62" s="5">
        <f t="shared" si="34"/>
        <v>1</v>
      </c>
      <c r="BT62" s="5">
        <f t="shared" si="35"/>
        <v>1</v>
      </c>
      <c r="BU62" s="4">
        <f>IF(BO62=1,((AI62+(IF(R62="IN-07",'Assumptions &amp; Inputs'!$C$66,AF62))*AL62)*AS62)+AW62+(((AI62+(IF(R62="IN-07",'Assumptions &amp; Inputs'!$C$66,AF62))*AL62)*AS62)*AZ62)+IF(BD62="Yes",(((AI62+(IF(R62="IN-07",'Assumptions &amp; Inputs'!$C$66,AF62))*AL62)*AS62)+AW62)*VLOOKUP("IN-34",'Assumptions &amp; Inputs'!$A$31:$F$69,3,FALSE),0),0)</f>
        <v>0</v>
      </c>
      <c r="BV62" s="4">
        <f>IF(BO62=1,((AJ62+(IF(R62="IN-07",'Assumptions &amp; Inputs'!$D$66,AG62))*AM62)*AS62)+AX62+(((AJ62+(IF(R62="IN-07",'Assumptions &amp; Inputs'!$D$66,AG62))*AM62)*AS62)*AZ62)+IF(BD62="Yes",(((AJ62+(IF(R62="IN-07",'Assumptions &amp; Inputs'!$D$66,AG62))*AM62)*AS62)+AX62)*VLOOKUP("IN-34",'Assumptions &amp; Inputs'!$A$31:$F$69,4,FALSE),0),0)</f>
        <v>0</v>
      </c>
      <c r="BW62" s="4">
        <f>IF(BO62=1,((AK62+(IF(R62="IN-07",'Assumptions &amp; Inputs'!$E$66,AH62))*AN62)*AS62)+AY62+(((AK62+(IF(R62="IN-07",'Assumptions &amp; Inputs'!$E$66,AH62))*AN62)*AS62)*AZ62)+IF(BD62="Yes",(((AK62+(IF(R62="IN-07",'Assumptions &amp; Inputs'!$E$66,AH62))*AN62)*AS62)+AY62)*VLOOKUP("IN-34",'Assumptions &amp; Inputs'!$A$31:$F$69,5,FALSE),0),0)</f>
        <v>0</v>
      </c>
      <c r="BX62" s="4">
        <f>IF(BP62=1,((AI62+(IF(R62="IN-07",'Assumptions &amp; Inputs'!$C$66,AF62))*AL62)*AS62)+AW62+(((AI62+(IF(R62="IN-07",'Assumptions &amp; Inputs'!$C$66,AF62))*AL62)*AS62)*AZ62)+IF(BD62="Yes",(((AI62+(IF(R62="IN-07",'Assumptions &amp; Inputs'!$C$66,AF62))*AL62)*AS62)+AW62)*VLOOKUP("IN-34",'Assumptions &amp; Inputs'!$A$31:$F$69,3,FALSE),0),0)</f>
        <v>0</v>
      </c>
      <c r="BY62" s="4">
        <f>IF(BP62=1,((AJ62+(IF(R62="IN-07",'Assumptions &amp; Inputs'!$D$66,AG62))*AM62)*AS62)+AX62+(((AJ62+(IF(R62="IN-07",'Assumptions &amp; Inputs'!$D$66,AG62))*AM62)*AS62)*AZ62)+IF(BD62="Yes",(((AJ62+(IF(R62="IN-07",'Assumptions &amp; Inputs'!$D$66,AG62))*AM62)*AS62)+AX62)*VLOOKUP("IN-34",'Assumptions &amp; Inputs'!$A$31:$F$69,4,FALSE),0),0)</f>
        <v>0</v>
      </c>
      <c r="BZ62" s="4">
        <f>IF(BP62=1,((AK62+(IF(R62="IN-07",'Assumptions &amp; Inputs'!$E$66,AH62))*AN62)*AS62)+AY62+(((AK62+(IF(R62="IN-07",'Assumptions &amp; Inputs'!$E$66,AH62))*AN62)*AS62)*AZ62)+IF(BD62="Yes",(((AK62+(IF(R62="IN-07",'Assumptions &amp; Inputs'!$E$66,AH62))*AN62)*AS62)+AY62)*VLOOKUP("IN-34",'Assumptions &amp; Inputs'!$A$31:$F$69,5,FALSE),0),0)</f>
        <v>0</v>
      </c>
      <c r="CA62" s="4">
        <f>IF(BQ62=1,((AI62+(IF(R62="IN-07",'Assumptions &amp; Inputs'!$C$65,AF62))*AL62)*AS62)+AW62+(((AI62+(IF(R62="IN-07",'Assumptions &amp; Inputs'!$C$65,AF62))*AL62)*AS62)*AZ62)+IF(BD62="Yes",(((AI62+(IF(R62="IN-07",'Assumptions &amp; Inputs'!$C$65,AF62))*AL62)*AS62)+AW62)*VLOOKUP("IN-34",'Assumptions &amp; Inputs'!$A$31:$F$69,3,FALSE),0),0)</f>
        <v>15187.5</v>
      </c>
      <c r="CB62" s="4">
        <f>IF(BQ62=1,((AJ62+(IF(R62="IN-07",'Assumptions &amp; Inputs'!$D$65,AG62))*AM62)*AS62)+AX62+(((AJ62+(IF(R62="IN-07",'Assumptions &amp; Inputs'!$D$65,AG62))*AM62)*AS62)*AZ62)+IF(BD62="Yes",(((AJ62+(IF(R62="IN-07",'Assumptions &amp; Inputs'!$D$65,AG62))*AM62)*AS62)+AX62)*VLOOKUP("IN-34",'Assumptions &amp; Inputs'!$A$31:$F$69,4,FALSE),0),0)</f>
        <v>34375</v>
      </c>
      <c r="CC62" s="4">
        <f>IF(BQ62=1,((AK62+(IF(R62="IN-07",'Assumptions &amp; Inputs'!$E$65,AH62))*AN62)*AS62)+AY62+(((AK62+(IF(R62="IN-07",'Assumptions &amp; Inputs'!$E$65,AH62))*AN62)*AS62)*AZ62)+IF(BD62="Yes",(((AK62+(IF(R62="IN-07",'Assumptions &amp; Inputs'!$E$65,AH62))*AN62)*AS62)+AY62)*VLOOKUP("IN-34",'Assumptions &amp; Inputs'!$A$31:$F$69,5,FALSE),0),0)</f>
        <v>97875</v>
      </c>
      <c r="CD62" s="4">
        <f>IF(BR62=1,((AI62+(IF(R62="IN-07",'Assumptions &amp; Inputs'!$C$65,AF62))*AL62)*AS62)+AW62+(((AI62+(IF(R62="IN-07",'Assumptions &amp; Inputs'!$C$65,AF62))*AL62)*AS62)*AZ62)+IF(BD62="Yes",(((AI62+(IF(R62="IN-07",'Assumptions &amp; Inputs'!$C$65,AF62))*AL62)*AS62)+AW62)*VLOOKUP("IN-34",'Assumptions &amp; Inputs'!$A$31:$F$69,3,FALSE),0),0)</f>
        <v>15187.5</v>
      </c>
      <c r="CE62" s="4">
        <f>IF(BR62=1,((AJ62+(IF(R62="IN-07",'Assumptions &amp; Inputs'!$D$65,AG62))*AM62)*AS62)+AX62+(((AJ62+(IF(R62="IN-07",'Assumptions &amp; Inputs'!$D$65,AG62))*AM62)*AS62)*AZ62)+IF(BD62="Yes",(((AJ62+(IF(R62="IN-07",'Assumptions &amp; Inputs'!$D$65,AG62))*AM62)*AS62)+AX62)*VLOOKUP("IN-34",'Assumptions &amp; Inputs'!$A$31:$F$69,4,FALSE),0),0)</f>
        <v>34375</v>
      </c>
      <c r="CF62" s="4">
        <f>IF(BR62=1,((AK62+(IF(R62="IN-07",'Assumptions &amp; Inputs'!$E$65,AH62))*AN62)*AS62)+AY62+(((AK62+(IF(R62="IN-07",'Assumptions &amp; Inputs'!$E$65,AH62))*AN62)*AS62)*AZ62)+IF(BD62="Yes",(((AK62+(IF(R62="IN-07",'Assumptions &amp; Inputs'!$E$65,AH62))*AN62)*AS62)+AY62)*VLOOKUP("IN-34",'Assumptions &amp; Inputs'!$A$31:$F$69,5,FALSE),0),0)</f>
        <v>97875</v>
      </c>
      <c r="CG62" s="4">
        <f>IF(BS62=1,((AI62+(IF(R62="IN-07",0,AF62))*AL62)*AS62)+AW62+(((AI62+(IF(R62="IN-07",0,AF62))*AL62)*AS62)*AZ62)+IF(BD62="Yes",(((AI62+(IF(R62="IN-07",0,AF62))*AL62)*AS62)+AW62)*VLOOKUP("IN-34",'Assumptions &amp; Inputs'!$A$31:$F$69,3,FALSE),0),0)</f>
        <v>15187.5</v>
      </c>
      <c r="CH62" s="4">
        <f>IF(BS62=1,((AJ62+(IF(R62="IN-07",0,AG62))*AM62)*AS62)+AX62+(((AJ62+(IF(R62="IN-07",0,AG62))*AM62)*AS62)*AZ62)+IF(BD62="Yes",(((AJ62+(IF(R62="IN-07",0,AG62))*AM62)*AS62)+AX62)*VLOOKUP("IN-34",'Assumptions &amp; Inputs'!$A$31:$F$69,4,FALSE),0),0)</f>
        <v>34375</v>
      </c>
      <c r="CI62" s="4">
        <f>IF(BS62=1,((AK62+(IF(R62="IN-07",0,AH62))*AN62)*AS62)+AY62+(((AK62+(IF(R62="IN-07",0,AH62))*AN62)*AS62)*AZ62)+IF(BD62="Yes",(((AK62+(IF(R62="IN-07",0,AH62))*AN62)*AS62)+AY62)*VLOOKUP("IN-34",'Assumptions &amp; Inputs'!$A$31:$F$69,5,FALSE),0),0)</f>
        <v>97875</v>
      </c>
      <c r="CJ62" s="4">
        <f>IF(BT62=1,((AI62+(IF(R62="IN-07",0,AF62))*AL62)*AS62)+AW62+(((AI62+(IF(R62="IN-07",0,AF62))*AL62)*AS62)*AZ62)+IF(BD62="Yes",(((AI62+(IF(R62="IN-07",0,AF62))*AL62)*AS62)+AW62)*VLOOKUP("IN-34",'Assumptions &amp; Inputs'!$A$31:$F$69,3,FALSE),0),0)</f>
        <v>15187.5</v>
      </c>
      <c r="CK62" s="4">
        <f>IF(BT62=1,((AJ62+(IF(R62="IN-07",0,AG62))*AM62)*AS62)+AX62+(((AJ62+(IF(R62="IN-07",0,AG62))*AM62)*AS62)*AZ62)+IF(BD62="Yes",(((AJ62+(IF(R62="IN-07",0,AG62))*AM62)*AS62)+AX62)*VLOOKUP("IN-34",'Assumptions &amp; Inputs'!$A$31:$F$69,4,FALSE),0),0)</f>
        <v>34375</v>
      </c>
      <c r="CL62" s="4">
        <f>IF(BT62=1,((AK62+(IF(R62="IN-07",0,AH62))*AN62)*AS62)+AY62+(((AK62+(IF(R62="IN-07",0,AH62))*AN62)*AS62)*AZ62)+IF(BD62="Yes",(((AK62+(IF(R62="IN-07",0,AH62))*AN62)*AS62)+AY62)*VLOOKUP("IN-34",'Assumptions &amp; Inputs'!$A$31:$F$69,5,FALSE),0),0)</f>
        <v>97875</v>
      </c>
    </row>
    <row r="63" spans="1:90" ht="43.5" x14ac:dyDescent="0.35">
      <c r="A63" s="1" t="s">
        <v>1260</v>
      </c>
      <c r="B63" s="1" t="s">
        <v>197</v>
      </c>
      <c r="C63" s="1" t="s">
        <v>50</v>
      </c>
      <c r="D63" s="1" t="s">
        <v>52</v>
      </c>
      <c r="E63" s="1" t="s">
        <v>1261</v>
      </c>
      <c r="F63" s="1" t="s">
        <v>1262</v>
      </c>
      <c r="G63" s="1" t="s">
        <v>1263</v>
      </c>
      <c r="H63" s="1" t="s">
        <v>1264</v>
      </c>
      <c r="I63" s="1" t="s">
        <v>1265</v>
      </c>
      <c r="J63" s="1" t="s">
        <v>1266</v>
      </c>
      <c r="K63" s="1" t="s">
        <v>1267</v>
      </c>
      <c r="L63" s="1" t="s">
        <v>1265</v>
      </c>
      <c r="M63" s="1" t="s">
        <v>532</v>
      </c>
      <c r="N63" s="1" t="s">
        <v>156</v>
      </c>
      <c r="O63" s="1" t="s">
        <v>533</v>
      </c>
      <c r="P63" s="1" t="s">
        <v>593</v>
      </c>
      <c r="Q63" s="1" t="s">
        <v>1268</v>
      </c>
      <c r="R63" s="1" t="s">
        <v>303</v>
      </c>
      <c r="S63" s="1" t="s">
        <v>1028</v>
      </c>
      <c r="T63" s="1" t="s">
        <v>1269</v>
      </c>
      <c r="U63" s="1" t="s">
        <v>1270</v>
      </c>
      <c r="V63" s="1" t="s">
        <v>1271</v>
      </c>
      <c r="W63" s="1" t="s">
        <v>1113</v>
      </c>
      <c r="X63" s="1" t="s">
        <v>1272</v>
      </c>
      <c r="Y63" s="1" t="s">
        <v>1273</v>
      </c>
      <c r="Z63" s="1" t="s">
        <v>543</v>
      </c>
      <c r="AA63" s="1" t="s">
        <v>1274</v>
      </c>
      <c r="AB63" s="1" t="s">
        <v>545</v>
      </c>
      <c r="AC63" s="1" t="s">
        <v>1275</v>
      </c>
      <c r="AD63" s="1" t="s">
        <v>574</v>
      </c>
      <c r="AE63" s="22">
        <f>IF(ISNUMBER(SEARCH('Scenario Definitions'!$C$5,N63)),1,0)</f>
        <v>1</v>
      </c>
      <c r="AF63" s="22">
        <f>IFERROR(VLOOKUP(R63,'Assumptions &amp; Inputs'!$A$31:$F$69,3,FALSE),0)</f>
        <v>6</v>
      </c>
      <c r="AG63" s="22">
        <f>IFERROR(VLOOKUP(R63,'Assumptions &amp; Inputs'!$A$31:$F$69,4,FALSE),0)</f>
        <v>12</v>
      </c>
      <c r="AH63" s="23">
        <f>IFERROR(VLOOKUP(R63,'Assumptions &amp; Inputs'!$A$31:$F$69,5,FALSE),0)</f>
        <v>25</v>
      </c>
      <c r="AI63" s="11">
        <v>0</v>
      </c>
      <c r="AJ63" s="11">
        <v>0</v>
      </c>
      <c r="AK63" s="11">
        <v>0</v>
      </c>
      <c r="AL63" s="11">
        <v>9</v>
      </c>
      <c r="AM63" s="11">
        <v>12</v>
      </c>
      <c r="AN63" s="11">
        <v>18</v>
      </c>
      <c r="AO63" s="39">
        <f t="shared" si="18"/>
        <v>54</v>
      </c>
      <c r="AP63" s="22">
        <f t="shared" si="19"/>
        <v>144</v>
      </c>
      <c r="AQ63" s="23">
        <f t="shared" si="20"/>
        <v>450</v>
      </c>
      <c r="AR63" s="58" t="s">
        <v>433</v>
      </c>
      <c r="AS63" s="35">
        <f>IFERROR(VLOOKUP(AR63,'Assumptions &amp; Inputs'!$A$73:$I$100,9,FALSE),0)</f>
        <v>95</v>
      </c>
      <c r="AT63" s="30">
        <f t="shared" si="21"/>
        <v>5130</v>
      </c>
      <c r="AU63" s="30">
        <f t="shared" si="22"/>
        <v>13680</v>
      </c>
      <c r="AV63" s="31">
        <f t="shared" si="23"/>
        <v>42750</v>
      </c>
      <c r="AW63" s="57">
        <v>0</v>
      </c>
      <c r="AX63" s="57">
        <v>0</v>
      </c>
      <c r="AY63" s="57">
        <v>0</v>
      </c>
      <c r="AZ63" s="35">
        <f>IFERROR(VLOOKUP(C63,'Assumptions &amp; Inputs'!$A$104:$B$107,2,FALSE),0)</f>
        <v>0.25</v>
      </c>
      <c r="BA63" s="30">
        <f t="shared" si="24"/>
        <v>1282.5</v>
      </c>
      <c r="BB63" s="30">
        <f t="shared" si="25"/>
        <v>3420</v>
      </c>
      <c r="BC63" s="31">
        <f t="shared" si="26"/>
        <v>10687.5</v>
      </c>
      <c r="BD63" s="57" t="s">
        <v>209</v>
      </c>
      <c r="BE63" s="35">
        <f>IF(BD63="Yes",(AT63+AW63)*VLOOKUP("IN-34",'Assumptions &amp; Inputs'!$A$31:$F$69,3,FALSE),0)</f>
        <v>256.5</v>
      </c>
      <c r="BF63" s="30">
        <f>IF(BD63="Yes",(AU63+AX63)*VLOOKUP("IN-34",'Assumptions &amp; Inputs'!$A$31:$F$69,4,FALSE),0)</f>
        <v>1026</v>
      </c>
      <c r="BG63" s="30">
        <f>IF(BD63="Yes",(AV63+AY63)*VLOOKUP("IN-34",'Assumptions &amp; Inputs'!$A$31:$F$69,5,FALSE),0)</f>
        <v>6412.5</v>
      </c>
      <c r="BH63" s="30">
        <f t="shared" si="27"/>
        <v>6669</v>
      </c>
      <c r="BI63" s="30">
        <f t="shared" si="28"/>
        <v>18126</v>
      </c>
      <c r="BJ63" s="31">
        <f t="shared" si="29"/>
        <v>59850</v>
      </c>
      <c r="BK63" s="58" t="s">
        <v>548</v>
      </c>
      <c r="BL63" s="58" t="s">
        <v>549</v>
      </c>
      <c r="BM63" s="58" t="s">
        <v>1274</v>
      </c>
      <c r="BN63" s="58" t="s">
        <v>550</v>
      </c>
      <c r="BO63" s="5">
        <f t="shared" si="30"/>
        <v>1</v>
      </c>
      <c r="BP63" s="5">
        <f t="shared" si="31"/>
        <v>1</v>
      </c>
      <c r="BQ63" s="5">
        <f t="shared" si="32"/>
        <v>1</v>
      </c>
      <c r="BR63" s="5">
        <f t="shared" si="33"/>
        <v>1</v>
      </c>
      <c r="BS63" s="5">
        <f t="shared" si="34"/>
        <v>1</v>
      </c>
      <c r="BT63" s="5">
        <f t="shared" si="35"/>
        <v>1</v>
      </c>
      <c r="BU63" s="4">
        <f>IF(BO63=1,((AI63+(IF(R63="IN-07",'Assumptions &amp; Inputs'!$C$66,AF63))*AL63)*AS63)+AW63+(((AI63+(IF(R63="IN-07",'Assumptions &amp; Inputs'!$C$66,AF63))*AL63)*AS63)*AZ63)+IF(BD63="Yes",(((AI63+(IF(R63="IN-07",'Assumptions &amp; Inputs'!$C$66,AF63))*AL63)*AS63)+AW63)*VLOOKUP("IN-34",'Assumptions &amp; Inputs'!$A$31:$F$69,3,FALSE),0),0)</f>
        <v>6669</v>
      </c>
      <c r="BV63" s="4">
        <f>IF(BO63=1,((AJ63+(IF(R63="IN-07",'Assumptions &amp; Inputs'!$D$66,AG63))*AM63)*AS63)+AX63+(((AJ63+(IF(R63="IN-07",'Assumptions &amp; Inputs'!$D$66,AG63))*AM63)*AS63)*AZ63)+IF(BD63="Yes",(((AJ63+(IF(R63="IN-07",'Assumptions &amp; Inputs'!$D$66,AG63))*AM63)*AS63)+AX63)*VLOOKUP("IN-34",'Assumptions &amp; Inputs'!$A$31:$F$69,4,FALSE),0),0)</f>
        <v>18126</v>
      </c>
      <c r="BW63" s="4">
        <f>IF(BO63=1,((AK63+(IF(R63="IN-07",'Assumptions &amp; Inputs'!$E$66,AH63))*AN63)*AS63)+AY63+(((AK63+(IF(R63="IN-07",'Assumptions &amp; Inputs'!$E$66,AH63))*AN63)*AS63)*AZ63)+IF(BD63="Yes",(((AK63+(IF(R63="IN-07",'Assumptions &amp; Inputs'!$E$66,AH63))*AN63)*AS63)+AY63)*VLOOKUP("IN-34",'Assumptions &amp; Inputs'!$A$31:$F$69,5,FALSE),0),0)</f>
        <v>59850</v>
      </c>
      <c r="BX63" s="4">
        <f>IF(BP63=1,((AI63+(IF(R63="IN-07",'Assumptions &amp; Inputs'!$C$66,AF63))*AL63)*AS63)+AW63+(((AI63+(IF(R63="IN-07",'Assumptions &amp; Inputs'!$C$66,AF63))*AL63)*AS63)*AZ63)+IF(BD63="Yes",(((AI63+(IF(R63="IN-07",'Assumptions &amp; Inputs'!$C$66,AF63))*AL63)*AS63)+AW63)*VLOOKUP("IN-34",'Assumptions &amp; Inputs'!$A$31:$F$69,3,FALSE),0),0)</f>
        <v>6669</v>
      </c>
      <c r="BY63" s="4">
        <f>IF(BP63=1,((AJ63+(IF(R63="IN-07",'Assumptions &amp; Inputs'!$D$66,AG63))*AM63)*AS63)+AX63+(((AJ63+(IF(R63="IN-07",'Assumptions &amp; Inputs'!$D$66,AG63))*AM63)*AS63)*AZ63)+IF(BD63="Yes",(((AJ63+(IF(R63="IN-07",'Assumptions &amp; Inputs'!$D$66,AG63))*AM63)*AS63)+AX63)*VLOOKUP("IN-34",'Assumptions &amp; Inputs'!$A$31:$F$69,4,FALSE),0),0)</f>
        <v>18126</v>
      </c>
      <c r="BZ63" s="4">
        <f>IF(BP63=1,((AK63+(IF(R63="IN-07",'Assumptions &amp; Inputs'!$E$66,AH63))*AN63)*AS63)+AY63+(((AK63+(IF(R63="IN-07",'Assumptions &amp; Inputs'!$E$66,AH63))*AN63)*AS63)*AZ63)+IF(BD63="Yes",(((AK63+(IF(R63="IN-07",'Assumptions &amp; Inputs'!$E$66,AH63))*AN63)*AS63)+AY63)*VLOOKUP("IN-34",'Assumptions &amp; Inputs'!$A$31:$F$69,5,FALSE),0),0)</f>
        <v>59850</v>
      </c>
      <c r="CA63" s="4">
        <f>IF(BQ63=1,((AI63+(IF(R63="IN-07",'Assumptions &amp; Inputs'!$C$65,AF63))*AL63)*AS63)+AW63+(((AI63+(IF(R63="IN-07",'Assumptions &amp; Inputs'!$C$65,AF63))*AL63)*AS63)*AZ63)+IF(BD63="Yes",(((AI63+(IF(R63="IN-07",'Assumptions &amp; Inputs'!$C$65,AF63))*AL63)*AS63)+AW63)*VLOOKUP("IN-34",'Assumptions &amp; Inputs'!$A$31:$F$69,3,FALSE),0),0)</f>
        <v>6669</v>
      </c>
      <c r="CB63" s="4">
        <f>IF(BQ63=1,((AJ63+(IF(R63="IN-07",'Assumptions &amp; Inputs'!$D$65,AG63))*AM63)*AS63)+AX63+(((AJ63+(IF(R63="IN-07",'Assumptions &amp; Inputs'!$D$65,AG63))*AM63)*AS63)*AZ63)+IF(BD63="Yes",(((AJ63+(IF(R63="IN-07",'Assumptions &amp; Inputs'!$D$65,AG63))*AM63)*AS63)+AX63)*VLOOKUP("IN-34",'Assumptions &amp; Inputs'!$A$31:$F$69,4,FALSE),0),0)</f>
        <v>18126</v>
      </c>
      <c r="CC63" s="4">
        <f>IF(BQ63=1,((AK63+(IF(R63="IN-07",'Assumptions &amp; Inputs'!$E$65,AH63))*AN63)*AS63)+AY63+(((AK63+(IF(R63="IN-07",'Assumptions &amp; Inputs'!$E$65,AH63))*AN63)*AS63)*AZ63)+IF(BD63="Yes",(((AK63+(IF(R63="IN-07",'Assumptions &amp; Inputs'!$E$65,AH63))*AN63)*AS63)+AY63)*VLOOKUP("IN-34",'Assumptions &amp; Inputs'!$A$31:$F$69,5,FALSE),0),0)</f>
        <v>59850</v>
      </c>
      <c r="CD63" s="4">
        <f>IF(BR63=1,((AI63+(IF(R63="IN-07",'Assumptions &amp; Inputs'!$C$65,AF63))*AL63)*AS63)+AW63+(((AI63+(IF(R63="IN-07",'Assumptions &amp; Inputs'!$C$65,AF63))*AL63)*AS63)*AZ63)+IF(BD63="Yes",(((AI63+(IF(R63="IN-07",'Assumptions &amp; Inputs'!$C$65,AF63))*AL63)*AS63)+AW63)*VLOOKUP("IN-34",'Assumptions &amp; Inputs'!$A$31:$F$69,3,FALSE),0),0)</f>
        <v>6669</v>
      </c>
      <c r="CE63" s="4">
        <f>IF(BR63=1,((AJ63+(IF(R63="IN-07",'Assumptions &amp; Inputs'!$D$65,AG63))*AM63)*AS63)+AX63+(((AJ63+(IF(R63="IN-07",'Assumptions &amp; Inputs'!$D$65,AG63))*AM63)*AS63)*AZ63)+IF(BD63="Yes",(((AJ63+(IF(R63="IN-07",'Assumptions &amp; Inputs'!$D$65,AG63))*AM63)*AS63)+AX63)*VLOOKUP("IN-34",'Assumptions &amp; Inputs'!$A$31:$F$69,4,FALSE),0),0)</f>
        <v>18126</v>
      </c>
      <c r="CF63" s="4">
        <f>IF(BR63=1,((AK63+(IF(R63="IN-07",'Assumptions &amp; Inputs'!$E$65,AH63))*AN63)*AS63)+AY63+(((AK63+(IF(R63="IN-07",'Assumptions &amp; Inputs'!$E$65,AH63))*AN63)*AS63)*AZ63)+IF(BD63="Yes",(((AK63+(IF(R63="IN-07",'Assumptions &amp; Inputs'!$E$65,AH63))*AN63)*AS63)+AY63)*VLOOKUP("IN-34",'Assumptions &amp; Inputs'!$A$31:$F$69,5,FALSE),0),0)</f>
        <v>59850</v>
      </c>
      <c r="CG63" s="4">
        <f>IF(BS63=1,((AI63+(IF(R63="IN-07",0,AF63))*AL63)*AS63)+AW63+(((AI63+(IF(R63="IN-07",0,AF63))*AL63)*AS63)*AZ63)+IF(BD63="Yes",(((AI63+(IF(R63="IN-07",0,AF63))*AL63)*AS63)+AW63)*VLOOKUP("IN-34",'Assumptions &amp; Inputs'!$A$31:$F$69,3,FALSE),0),0)</f>
        <v>6669</v>
      </c>
      <c r="CH63" s="4">
        <f>IF(BS63=1,((AJ63+(IF(R63="IN-07",0,AG63))*AM63)*AS63)+AX63+(((AJ63+(IF(R63="IN-07",0,AG63))*AM63)*AS63)*AZ63)+IF(BD63="Yes",(((AJ63+(IF(R63="IN-07",0,AG63))*AM63)*AS63)+AX63)*VLOOKUP("IN-34",'Assumptions &amp; Inputs'!$A$31:$F$69,4,FALSE),0),0)</f>
        <v>18126</v>
      </c>
      <c r="CI63" s="4">
        <f>IF(BS63=1,((AK63+(IF(R63="IN-07",0,AH63))*AN63)*AS63)+AY63+(((AK63+(IF(R63="IN-07",0,AH63))*AN63)*AS63)*AZ63)+IF(BD63="Yes",(((AK63+(IF(R63="IN-07",0,AH63))*AN63)*AS63)+AY63)*VLOOKUP("IN-34",'Assumptions &amp; Inputs'!$A$31:$F$69,5,FALSE),0),0)</f>
        <v>59850</v>
      </c>
      <c r="CJ63" s="4">
        <f>IF(BT63=1,((AI63+(IF(R63="IN-07",0,AF63))*AL63)*AS63)+AW63+(((AI63+(IF(R63="IN-07",0,AF63))*AL63)*AS63)*AZ63)+IF(BD63="Yes",(((AI63+(IF(R63="IN-07",0,AF63))*AL63)*AS63)+AW63)*VLOOKUP("IN-34",'Assumptions &amp; Inputs'!$A$31:$F$69,3,FALSE),0),0)</f>
        <v>6669</v>
      </c>
      <c r="CK63" s="4">
        <f>IF(BT63=1,((AJ63+(IF(R63="IN-07",0,AG63))*AM63)*AS63)+AX63+(((AJ63+(IF(R63="IN-07",0,AG63))*AM63)*AS63)*AZ63)+IF(BD63="Yes",(((AJ63+(IF(R63="IN-07",0,AG63))*AM63)*AS63)+AX63)*VLOOKUP("IN-34",'Assumptions &amp; Inputs'!$A$31:$F$69,4,FALSE),0),0)</f>
        <v>18126</v>
      </c>
      <c r="CL63" s="4">
        <f>IF(BT63=1,((AK63+(IF(R63="IN-07",0,AH63))*AN63)*AS63)+AY63+(((AK63+(IF(R63="IN-07",0,AH63))*AN63)*AS63)*AZ63)+IF(BD63="Yes",(((AK63+(IF(R63="IN-07",0,AH63))*AN63)*AS63)+AY63)*VLOOKUP("IN-34",'Assumptions &amp; Inputs'!$A$31:$F$69,5,FALSE),0),0)</f>
        <v>59850</v>
      </c>
    </row>
    <row r="64" spans="1:90" ht="43.5" x14ac:dyDescent="0.35">
      <c r="A64" s="1" t="s">
        <v>1276</v>
      </c>
      <c r="B64" s="1" t="s">
        <v>198</v>
      </c>
      <c r="C64" s="1" t="s">
        <v>50</v>
      </c>
      <c r="D64" s="1" t="s">
        <v>53</v>
      </c>
      <c r="E64" s="1" t="s">
        <v>1277</v>
      </c>
      <c r="F64" s="1" t="s">
        <v>1278</v>
      </c>
      <c r="G64" s="1" t="s">
        <v>1279</v>
      </c>
      <c r="H64" s="1" t="s">
        <v>1280</v>
      </c>
      <c r="I64" s="1" t="s">
        <v>1265</v>
      </c>
      <c r="J64" s="1" t="s">
        <v>1281</v>
      </c>
      <c r="K64" s="1" t="s">
        <v>1282</v>
      </c>
      <c r="L64" s="1" t="s">
        <v>1265</v>
      </c>
      <c r="M64" s="1" t="s">
        <v>532</v>
      </c>
      <c r="N64" s="1" t="s">
        <v>156</v>
      </c>
      <c r="O64" s="1" t="s">
        <v>533</v>
      </c>
      <c r="P64" s="1" t="s">
        <v>593</v>
      </c>
      <c r="Q64" s="1" t="s">
        <v>1268</v>
      </c>
      <c r="R64" s="1" t="s">
        <v>303</v>
      </c>
      <c r="S64" s="1" t="s">
        <v>1028</v>
      </c>
      <c r="T64" s="1" t="s">
        <v>596</v>
      </c>
      <c r="U64" s="1" t="s">
        <v>1283</v>
      </c>
      <c r="V64" s="1" t="s">
        <v>1271</v>
      </c>
      <c r="W64" s="1" t="s">
        <v>598</v>
      </c>
      <c r="X64" s="1" t="s">
        <v>1284</v>
      </c>
      <c r="Y64" s="1" t="s">
        <v>600</v>
      </c>
      <c r="Z64" s="1" t="s">
        <v>543</v>
      </c>
      <c r="AA64" s="1" t="s">
        <v>602</v>
      </c>
      <c r="AB64" s="1" t="s">
        <v>36</v>
      </c>
      <c r="AC64" s="1" t="s">
        <v>1285</v>
      </c>
      <c r="AD64" s="1" t="s">
        <v>604</v>
      </c>
      <c r="AE64" s="22">
        <f>IF(ISNUMBER(SEARCH('Scenario Definitions'!$C$5,N64)),1,0)</f>
        <v>1</v>
      </c>
      <c r="AF64" s="22">
        <f>IFERROR(VLOOKUP(R64,'Assumptions &amp; Inputs'!$A$31:$F$69,3,FALSE),0)</f>
        <v>6</v>
      </c>
      <c r="AG64" s="22">
        <f>IFERROR(VLOOKUP(R64,'Assumptions &amp; Inputs'!$A$31:$F$69,4,FALSE),0)</f>
        <v>12</v>
      </c>
      <c r="AH64" s="23">
        <f>IFERROR(VLOOKUP(R64,'Assumptions &amp; Inputs'!$A$31:$F$69,5,FALSE),0)</f>
        <v>25</v>
      </c>
      <c r="AI64" s="11">
        <v>0</v>
      </c>
      <c r="AJ64" s="11">
        <v>0</v>
      </c>
      <c r="AK64" s="11">
        <v>0</v>
      </c>
      <c r="AL64" s="11">
        <v>12.1</v>
      </c>
      <c r="AM64" s="11">
        <v>16.2</v>
      </c>
      <c r="AN64" s="11">
        <v>24.3</v>
      </c>
      <c r="AO64" s="39">
        <f t="shared" si="18"/>
        <v>72.599999999999994</v>
      </c>
      <c r="AP64" s="22">
        <f t="shared" si="19"/>
        <v>194.39999999999998</v>
      </c>
      <c r="AQ64" s="23">
        <f t="shared" si="20"/>
        <v>607.5</v>
      </c>
      <c r="AR64" s="58" t="s">
        <v>434</v>
      </c>
      <c r="AS64" s="35">
        <f>IFERROR(VLOOKUP(AR64,'Assumptions &amp; Inputs'!$A$73:$I$100,9,FALSE),0)</f>
        <v>180</v>
      </c>
      <c r="AT64" s="30">
        <f t="shared" si="21"/>
        <v>13067.999999999998</v>
      </c>
      <c r="AU64" s="30">
        <f t="shared" si="22"/>
        <v>34991.999999999993</v>
      </c>
      <c r="AV64" s="31">
        <f t="shared" si="23"/>
        <v>109350</v>
      </c>
      <c r="AW64" s="57">
        <v>0</v>
      </c>
      <c r="AX64" s="57">
        <v>0</v>
      </c>
      <c r="AY64" s="57">
        <v>20000</v>
      </c>
      <c r="AZ64" s="35">
        <f>IFERROR(VLOOKUP(C64,'Assumptions &amp; Inputs'!$A$104:$B$107,2,FALSE),0)</f>
        <v>0.25</v>
      </c>
      <c r="BA64" s="30">
        <f t="shared" si="24"/>
        <v>3266.9999999999995</v>
      </c>
      <c r="BB64" s="30">
        <f t="shared" si="25"/>
        <v>8747.9999999999982</v>
      </c>
      <c r="BC64" s="31">
        <f t="shared" si="26"/>
        <v>27337.5</v>
      </c>
      <c r="BD64" s="57" t="s">
        <v>209</v>
      </c>
      <c r="BE64" s="35">
        <f>IF(BD64="Yes",(AT64+AW64)*VLOOKUP("IN-34",'Assumptions &amp; Inputs'!$A$31:$F$69,3,FALSE),0)</f>
        <v>653.4</v>
      </c>
      <c r="BF64" s="30">
        <f>IF(BD64="Yes",(AU64+AX64)*VLOOKUP("IN-34",'Assumptions &amp; Inputs'!$A$31:$F$69,4,FALSE),0)</f>
        <v>2624.3999999999992</v>
      </c>
      <c r="BG64" s="30">
        <f>IF(BD64="Yes",(AV64+AY64)*VLOOKUP("IN-34",'Assumptions &amp; Inputs'!$A$31:$F$69,5,FALSE),0)</f>
        <v>19402.5</v>
      </c>
      <c r="BH64" s="30">
        <f t="shared" si="27"/>
        <v>16988.399999999998</v>
      </c>
      <c r="BI64" s="30">
        <f t="shared" si="28"/>
        <v>46364.399999999994</v>
      </c>
      <c r="BJ64" s="31">
        <f t="shared" si="29"/>
        <v>176090</v>
      </c>
      <c r="BK64" s="58" t="s">
        <v>548</v>
      </c>
      <c r="BL64" s="58" t="s">
        <v>549</v>
      </c>
      <c r="BM64" s="58" t="s">
        <v>602</v>
      </c>
      <c r="BN64" s="58" t="s">
        <v>550</v>
      </c>
      <c r="BO64" s="5">
        <f t="shared" si="30"/>
        <v>1</v>
      </c>
      <c r="BP64" s="5">
        <f t="shared" si="31"/>
        <v>1</v>
      </c>
      <c r="BQ64" s="5">
        <f t="shared" si="32"/>
        <v>1</v>
      </c>
      <c r="BR64" s="5">
        <f t="shared" si="33"/>
        <v>1</v>
      </c>
      <c r="BS64" s="5">
        <f t="shared" si="34"/>
        <v>1</v>
      </c>
      <c r="BT64" s="5">
        <f t="shared" si="35"/>
        <v>1</v>
      </c>
      <c r="BU64" s="4">
        <f>IF(BO64=1,((AI64+(IF(R64="IN-07",'Assumptions &amp; Inputs'!$C$66,AF64))*AL64)*AS64)+AW64+(((AI64+(IF(R64="IN-07",'Assumptions &amp; Inputs'!$C$66,AF64))*AL64)*AS64)*AZ64)+IF(BD64="Yes",(((AI64+(IF(R64="IN-07",'Assumptions &amp; Inputs'!$C$66,AF64))*AL64)*AS64)+AW64)*VLOOKUP("IN-34",'Assumptions &amp; Inputs'!$A$31:$F$69,3,FALSE),0),0)</f>
        <v>16988.399999999998</v>
      </c>
      <c r="BV64" s="4">
        <f>IF(BO64=1,((AJ64+(IF(R64="IN-07",'Assumptions &amp; Inputs'!$D$66,AG64))*AM64)*AS64)+AX64+(((AJ64+(IF(R64="IN-07",'Assumptions &amp; Inputs'!$D$66,AG64))*AM64)*AS64)*AZ64)+IF(BD64="Yes",(((AJ64+(IF(R64="IN-07",'Assumptions &amp; Inputs'!$D$66,AG64))*AM64)*AS64)+AX64)*VLOOKUP("IN-34",'Assumptions &amp; Inputs'!$A$31:$F$69,4,FALSE),0),0)</f>
        <v>46364.399999999994</v>
      </c>
      <c r="BW64" s="4">
        <f>IF(BO64=1,((AK64+(IF(R64="IN-07",'Assumptions &amp; Inputs'!$E$66,AH64))*AN64)*AS64)+AY64+(((AK64+(IF(R64="IN-07",'Assumptions &amp; Inputs'!$E$66,AH64))*AN64)*AS64)*AZ64)+IF(BD64="Yes",(((AK64+(IF(R64="IN-07",'Assumptions &amp; Inputs'!$E$66,AH64))*AN64)*AS64)+AY64)*VLOOKUP("IN-34",'Assumptions &amp; Inputs'!$A$31:$F$69,5,FALSE),0),0)</f>
        <v>176090</v>
      </c>
      <c r="BX64" s="4">
        <f>IF(BP64=1,((AI64+(IF(R64="IN-07",'Assumptions &amp; Inputs'!$C$66,AF64))*AL64)*AS64)+AW64+(((AI64+(IF(R64="IN-07",'Assumptions &amp; Inputs'!$C$66,AF64))*AL64)*AS64)*AZ64)+IF(BD64="Yes",(((AI64+(IF(R64="IN-07",'Assumptions &amp; Inputs'!$C$66,AF64))*AL64)*AS64)+AW64)*VLOOKUP("IN-34",'Assumptions &amp; Inputs'!$A$31:$F$69,3,FALSE),0),0)</f>
        <v>16988.399999999998</v>
      </c>
      <c r="BY64" s="4">
        <f>IF(BP64=1,((AJ64+(IF(R64="IN-07",'Assumptions &amp; Inputs'!$D$66,AG64))*AM64)*AS64)+AX64+(((AJ64+(IF(R64="IN-07",'Assumptions &amp; Inputs'!$D$66,AG64))*AM64)*AS64)*AZ64)+IF(BD64="Yes",(((AJ64+(IF(R64="IN-07",'Assumptions &amp; Inputs'!$D$66,AG64))*AM64)*AS64)+AX64)*VLOOKUP("IN-34",'Assumptions &amp; Inputs'!$A$31:$F$69,4,FALSE),0),0)</f>
        <v>46364.399999999994</v>
      </c>
      <c r="BZ64" s="4">
        <f>IF(BP64=1,((AK64+(IF(R64="IN-07",'Assumptions &amp; Inputs'!$E$66,AH64))*AN64)*AS64)+AY64+(((AK64+(IF(R64="IN-07",'Assumptions &amp; Inputs'!$E$66,AH64))*AN64)*AS64)*AZ64)+IF(BD64="Yes",(((AK64+(IF(R64="IN-07",'Assumptions &amp; Inputs'!$E$66,AH64))*AN64)*AS64)+AY64)*VLOOKUP("IN-34",'Assumptions &amp; Inputs'!$A$31:$F$69,5,FALSE),0),0)</f>
        <v>176090</v>
      </c>
      <c r="CA64" s="4">
        <f>IF(BQ64=1,((AI64+(IF(R64="IN-07",'Assumptions &amp; Inputs'!$C$65,AF64))*AL64)*AS64)+AW64+(((AI64+(IF(R64="IN-07",'Assumptions &amp; Inputs'!$C$65,AF64))*AL64)*AS64)*AZ64)+IF(BD64="Yes",(((AI64+(IF(R64="IN-07",'Assumptions &amp; Inputs'!$C$65,AF64))*AL64)*AS64)+AW64)*VLOOKUP("IN-34",'Assumptions &amp; Inputs'!$A$31:$F$69,3,FALSE),0),0)</f>
        <v>16988.399999999998</v>
      </c>
      <c r="CB64" s="4">
        <f>IF(BQ64=1,((AJ64+(IF(R64="IN-07",'Assumptions &amp; Inputs'!$D$65,AG64))*AM64)*AS64)+AX64+(((AJ64+(IF(R64="IN-07",'Assumptions &amp; Inputs'!$D$65,AG64))*AM64)*AS64)*AZ64)+IF(BD64="Yes",(((AJ64+(IF(R64="IN-07",'Assumptions &amp; Inputs'!$D$65,AG64))*AM64)*AS64)+AX64)*VLOOKUP("IN-34",'Assumptions &amp; Inputs'!$A$31:$F$69,4,FALSE),0),0)</f>
        <v>46364.399999999994</v>
      </c>
      <c r="CC64" s="4">
        <f>IF(BQ64=1,((AK64+(IF(R64="IN-07",'Assumptions &amp; Inputs'!$E$65,AH64))*AN64)*AS64)+AY64+(((AK64+(IF(R64="IN-07",'Assumptions &amp; Inputs'!$E$65,AH64))*AN64)*AS64)*AZ64)+IF(BD64="Yes",(((AK64+(IF(R64="IN-07",'Assumptions &amp; Inputs'!$E$65,AH64))*AN64)*AS64)+AY64)*VLOOKUP("IN-34",'Assumptions &amp; Inputs'!$A$31:$F$69,5,FALSE),0),0)</f>
        <v>176090</v>
      </c>
      <c r="CD64" s="4">
        <f>IF(BR64=1,((AI64+(IF(R64="IN-07",'Assumptions &amp; Inputs'!$C$65,AF64))*AL64)*AS64)+AW64+(((AI64+(IF(R64="IN-07",'Assumptions &amp; Inputs'!$C$65,AF64))*AL64)*AS64)*AZ64)+IF(BD64="Yes",(((AI64+(IF(R64="IN-07",'Assumptions &amp; Inputs'!$C$65,AF64))*AL64)*AS64)+AW64)*VLOOKUP("IN-34",'Assumptions &amp; Inputs'!$A$31:$F$69,3,FALSE),0),0)</f>
        <v>16988.399999999998</v>
      </c>
      <c r="CE64" s="4">
        <f>IF(BR64=1,((AJ64+(IF(R64="IN-07",'Assumptions &amp; Inputs'!$D$65,AG64))*AM64)*AS64)+AX64+(((AJ64+(IF(R64="IN-07",'Assumptions &amp; Inputs'!$D$65,AG64))*AM64)*AS64)*AZ64)+IF(BD64="Yes",(((AJ64+(IF(R64="IN-07",'Assumptions &amp; Inputs'!$D$65,AG64))*AM64)*AS64)+AX64)*VLOOKUP("IN-34",'Assumptions &amp; Inputs'!$A$31:$F$69,4,FALSE),0),0)</f>
        <v>46364.399999999994</v>
      </c>
      <c r="CF64" s="4">
        <f>IF(BR64=1,((AK64+(IF(R64="IN-07",'Assumptions &amp; Inputs'!$E$65,AH64))*AN64)*AS64)+AY64+(((AK64+(IF(R64="IN-07",'Assumptions &amp; Inputs'!$E$65,AH64))*AN64)*AS64)*AZ64)+IF(BD64="Yes",(((AK64+(IF(R64="IN-07",'Assumptions &amp; Inputs'!$E$65,AH64))*AN64)*AS64)+AY64)*VLOOKUP("IN-34",'Assumptions &amp; Inputs'!$A$31:$F$69,5,FALSE),0),0)</f>
        <v>176090</v>
      </c>
      <c r="CG64" s="4">
        <f>IF(BS64=1,((AI64+(IF(R64="IN-07",0,AF64))*AL64)*AS64)+AW64+(((AI64+(IF(R64="IN-07",0,AF64))*AL64)*AS64)*AZ64)+IF(BD64="Yes",(((AI64+(IF(R64="IN-07",0,AF64))*AL64)*AS64)+AW64)*VLOOKUP("IN-34",'Assumptions &amp; Inputs'!$A$31:$F$69,3,FALSE),0),0)</f>
        <v>16988.399999999998</v>
      </c>
      <c r="CH64" s="4">
        <f>IF(BS64=1,((AJ64+(IF(R64="IN-07",0,AG64))*AM64)*AS64)+AX64+(((AJ64+(IF(R64="IN-07",0,AG64))*AM64)*AS64)*AZ64)+IF(BD64="Yes",(((AJ64+(IF(R64="IN-07",0,AG64))*AM64)*AS64)+AX64)*VLOOKUP("IN-34",'Assumptions &amp; Inputs'!$A$31:$F$69,4,FALSE),0),0)</f>
        <v>46364.399999999994</v>
      </c>
      <c r="CI64" s="4">
        <f>IF(BS64=1,((AK64+(IF(R64="IN-07",0,AH64))*AN64)*AS64)+AY64+(((AK64+(IF(R64="IN-07",0,AH64))*AN64)*AS64)*AZ64)+IF(BD64="Yes",(((AK64+(IF(R64="IN-07",0,AH64))*AN64)*AS64)+AY64)*VLOOKUP("IN-34",'Assumptions &amp; Inputs'!$A$31:$F$69,5,FALSE),0),0)</f>
        <v>176090</v>
      </c>
      <c r="CJ64" s="4">
        <f>IF(BT64=1,((AI64+(IF(R64="IN-07",0,AF64))*AL64)*AS64)+AW64+(((AI64+(IF(R64="IN-07",0,AF64))*AL64)*AS64)*AZ64)+IF(BD64="Yes",(((AI64+(IF(R64="IN-07",0,AF64))*AL64)*AS64)+AW64)*VLOOKUP("IN-34",'Assumptions &amp; Inputs'!$A$31:$F$69,3,FALSE),0),0)</f>
        <v>16988.399999999998</v>
      </c>
      <c r="CK64" s="4">
        <f>IF(BT64=1,((AJ64+(IF(R64="IN-07",0,AG64))*AM64)*AS64)+AX64+(((AJ64+(IF(R64="IN-07",0,AG64))*AM64)*AS64)*AZ64)+IF(BD64="Yes",(((AJ64+(IF(R64="IN-07",0,AG64))*AM64)*AS64)+AX64)*VLOOKUP("IN-34",'Assumptions &amp; Inputs'!$A$31:$F$69,4,FALSE),0),0)</f>
        <v>46364.399999999994</v>
      </c>
      <c r="CL64" s="4">
        <f>IF(BT64=1,((AK64+(IF(R64="IN-07",0,AH64))*AN64)*AS64)+AY64+(((AK64+(IF(R64="IN-07",0,AH64))*AN64)*AS64)*AZ64)+IF(BD64="Yes",(((AK64+(IF(R64="IN-07",0,AH64))*AN64)*AS64)+AY64)*VLOOKUP("IN-34",'Assumptions &amp; Inputs'!$A$31:$F$69,5,FALSE),0),0)</f>
        <v>176090</v>
      </c>
    </row>
    <row r="65" spans="1:90" ht="43.5" x14ac:dyDescent="0.35">
      <c r="A65" s="1" t="s">
        <v>1286</v>
      </c>
      <c r="B65" s="1" t="s">
        <v>199</v>
      </c>
      <c r="C65" s="1" t="s">
        <v>50</v>
      </c>
      <c r="D65" s="1" t="s">
        <v>53</v>
      </c>
      <c r="E65" s="1" t="s">
        <v>1287</v>
      </c>
      <c r="F65" s="1" t="s">
        <v>1288</v>
      </c>
      <c r="G65" s="1" t="s">
        <v>1289</v>
      </c>
      <c r="H65" s="1" t="s">
        <v>1290</v>
      </c>
      <c r="I65" s="1" t="s">
        <v>1265</v>
      </c>
      <c r="J65" s="1" t="s">
        <v>1291</v>
      </c>
      <c r="K65" s="1" t="s">
        <v>1292</v>
      </c>
      <c r="L65" s="1" t="s">
        <v>1265</v>
      </c>
      <c r="M65" s="1" t="s">
        <v>532</v>
      </c>
      <c r="N65" s="1" t="s">
        <v>156</v>
      </c>
      <c r="O65" s="1" t="s">
        <v>533</v>
      </c>
      <c r="P65" s="1" t="s">
        <v>593</v>
      </c>
      <c r="Q65" s="1" t="s">
        <v>1268</v>
      </c>
      <c r="R65" s="1" t="s">
        <v>303</v>
      </c>
      <c r="S65" s="1" t="s">
        <v>1028</v>
      </c>
      <c r="T65" s="1" t="s">
        <v>629</v>
      </c>
      <c r="U65" s="1" t="s">
        <v>1293</v>
      </c>
      <c r="V65" s="1" t="s">
        <v>1271</v>
      </c>
      <c r="W65" s="1" t="s">
        <v>1138</v>
      </c>
      <c r="X65" s="1" t="s">
        <v>1294</v>
      </c>
      <c r="Y65" s="1" t="s">
        <v>1295</v>
      </c>
      <c r="Z65" s="1" t="s">
        <v>543</v>
      </c>
      <c r="AA65" s="1" t="s">
        <v>634</v>
      </c>
      <c r="AB65" s="1" t="s">
        <v>545</v>
      </c>
      <c r="AC65" s="1" t="s">
        <v>1296</v>
      </c>
      <c r="AD65" s="1" t="s">
        <v>636</v>
      </c>
      <c r="AE65" s="22">
        <f>IF(ISNUMBER(SEARCH('Scenario Definitions'!$C$5,N65)),1,0)</f>
        <v>1</v>
      </c>
      <c r="AF65" s="22">
        <f>IFERROR(VLOOKUP(R65,'Assumptions &amp; Inputs'!$A$31:$F$69,3,FALSE),0)</f>
        <v>6</v>
      </c>
      <c r="AG65" s="22">
        <f>IFERROR(VLOOKUP(R65,'Assumptions &amp; Inputs'!$A$31:$F$69,4,FALSE),0)</f>
        <v>12</v>
      </c>
      <c r="AH65" s="23">
        <f>IFERROR(VLOOKUP(R65,'Assumptions &amp; Inputs'!$A$31:$F$69,5,FALSE),0)</f>
        <v>25</v>
      </c>
      <c r="AI65" s="11">
        <v>0</v>
      </c>
      <c r="AJ65" s="11">
        <v>0</v>
      </c>
      <c r="AK65" s="11">
        <v>0</v>
      </c>
      <c r="AL65" s="11">
        <v>9</v>
      </c>
      <c r="AM65" s="11">
        <v>12</v>
      </c>
      <c r="AN65" s="11">
        <v>18</v>
      </c>
      <c r="AO65" s="39">
        <f t="shared" si="18"/>
        <v>54</v>
      </c>
      <c r="AP65" s="22">
        <f t="shared" si="19"/>
        <v>144</v>
      </c>
      <c r="AQ65" s="23">
        <f t="shared" si="20"/>
        <v>450</v>
      </c>
      <c r="AR65" s="58" t="s">
        <v>434</v>
      </c>
      <c r="AS65" s="35">
        <f>IFERROR(VLOOKUP(AR65,'Assumptions &amp; Inputs'!$A$73:$I$100,9,FALSE),0)</f>
        <v>180</v>
      </c>
      <c r="AT65" s="30">
        <f t="shared" si="21"/>
        <v>9720</v>
      </c>
      <c r="AU65" s="30">
        <f t="shared" si="22"/>
        <v>25920</v>
      </c>
      <c r="AV65" s="31">
        <f t="shared" si="23"/>
        <v>81000</v>
      </c>
      <c r="AW65" s="57">
        <v>0</v>
      </c>
      <c r="AX65" s="57">
        <v>0</v>
      </c>
      <c r="AY65" s="57">
        <v>0</v>
      </c>
      <c r="AZ65" s="35">
        <f>IFERROR(VLOOKUP(C65,'Assumptions &amp; Inputs'!$A$104:$B$107,2,FALSE),0)</f>
        <v>0.25</v>
      </c>
      <c r="BA65" s="30">
        <f t="shared" si="24"/>
        <v>2430</v>
      </c>
      <c r="BB65" s="30">
        <f t="shared" si="25"/>
        <v>6480</v>
      </c>
      <c r="BC65" s="31">
        <f t="shared" si="26"/>
        <v>20250</v>
      </c>
      <c r="BD65" s="57" t="s">
        <v>209</v>
      </c>
      <c r="BE65" s="35">
        <f>IF(BD65="Yes",(AT65+AW65)*VLOOKUP("IN-34",'Assumptions &amp; Inputs'!$A$31:$F$69,3,FALSE),0)</f>
        <v>486</v>
      </c>
      <c r="BF65" s="30">
        <f>IF(BD65="Yes",(AU65+AX65)*VLOOKUP("IN-34",'Assumptions &amp; Inputs'!$A$31:$F$69,4,FALSE),0)</f>
        <v>1944</v>
      </c>
      <c r="BG65" s="30">
        <f>IF(BD65="Yes",(AV65+AY65)*VLOOKUP("IN-34",'Assumptions &amp; Inputs'!$A$31:$F$69,5,FALSE),0)</f>
        <v>12150</v>
      </c>
      <c r="BH65" s="30">
        <f t="shared" si="27"/>
        <v>12636</v>
      </c>
      <c r="BI65" s="30">
        <f t="shared" si="28"/>
        <v>34344</v>
      </c>
      <c r="BJ65" s="31">
        <f t="shared" si="29"/>
        <v>113400</v>
      </c>
      <c r="BK65" s="58" t="s">
        <v>548</v>
      </c>
      <c r="BL65" s="58" t="s">
        <v>549</v>
      </c>
      <c r="BM65" s="58" t="s">
        <v>634</v>
      </c>
      <c r="BN65" s="58" t="s">
        <v>550</v>
      </c>
      <c r="BO65" s="5">
        <f t="shared" si="30"/>
        <v>1</v>
      </c>
      <c r="BP65" s="5">
        <f t="shared" si="31"/>
        <v>1</v>
      </c>
      <c r="BQ65" s="5">
        <f t="shared" si="32"/>
        <v>1</v>
      </c>
      <c r="BR65" s="5">
        <f t="shared" si="33"/>
        <v>1</v>
      </c>
      <c r="BS65" s="5">
        <f t="shared" si="34"/>
        <v>1</v>
      </c>
      <c r="BT65" s="5">
        <f t="shared" si="35"/>
        <v>1</v>
      </c>
      <c r="BU65" s="4">
        <f>IF(BO65=1,((AI65+(IF(R65="IN-07",'Assumptions &amp; Inputs'!$C$66,AF65))*AL65)*AS65)+AW65+(((AI65+(IF(R65="IN-07",'Assumptions &amp; Inputs'!$C$66,AF65))*AL65)*AS65)*AZ65)+IF(BD65="Yes",(((AI65+(IF(R65="IN-07",'Assumptions &amp; Inputs'!$C$66,AF65))*AL65)*AS65)+AW65)*VLOOKUP("IN-34",'Assumptions &amp; Inputs'!$A$31:$F$69,3,FALSE),0),0)</f>
        <v>12636</v>
      </c>
      <c r="BV65" s="4">
        <f>IF(BO65=1,((AJ65+(IF(R65="IN-07",'Assumptions &amp; Inputs'!$D$66,AG65))*AM65)*AS65)+AX65+(((AJ65+(IF(R65="IN-07",'Assumptions &amp; Inputs'!$D$66,AG65))*AM65)*AS65)*AZ65)+IF(BD65="Yes",(((AJ65+(IF(R65="IN-07",'Assumptions &amp; Inputs'!$D$66,AG65))*AM65)*AS65)+AX65)*VLOOKUP("IN-34",'Assumptions &amp; Inputs'!$A$31:$F$69,4,FALSE),0),0)</f>
        <v>34344</v>
      </c>
      <c r="BW65" s="4">
        <f>IF(BO65=1,((AK65+(IF(R65="IN-07",'Assumptions &amp; Inputs'!$E$66,AH65))*AN65)*AS65)+AY65+(((AK65+(IF(R65="IN-07",'Assumptions &amp; Inputs'!$E$66,AH65))*AN65)*AS65)*AZ65)+IF(BD65="Yes",(((AK65+(IF(R65="IN-07",'Assumptions &amp; Inputs'!$E$66,AH65))*AN65)*AS65)+AY65)*VLOOKUP("IN-34",'Assumptions &amp; Inputs'!$A$31:$F$69,5,FALSE),0),0)</f>
        <v>113400</v>
      </c>
      <c r="BX65" s="4">
        <f>IF(BP65=1,((AI65+(IF(R65="IN-07",'Assumptions &amp; Inputs'!$C$66,AF65))*AL65)*AS65)+AW65+(((AI65+(IF(R65="IN-07",'Assumptions &amp; Inputs'!$C$66,AF65))*AL65)*AS65)*AZ65)+IF(BD65="Yes",(((AI65+(IF(R65="IN-07",'Assumptions &amp; Inputs'!$C$66,AF65))*AL65)*AS65)+AW65)*VLOOKUP("IN-34",'Assumptions &amp; Inputs'!$A$31:$F$69,3,FALSE),0),0)</f>
        <v>12636</v>
      </c>
      <c r="BY65" s="4">
        <f>IF(BP65=1,((AJ65+(IF(R65="IN-07",'Assumptions &amp; Inputs'!$D$66,AG65))*AM65)*AS65)+AX65+(((AJ65+(IF(R65="IN-07",'Assumptions &amp; Inputs'!$D$66,AG65))*AM65)*AS65)*AZ65)+IF(BD65="Yes",(((AJ65+(IF(R65="IN-07",'Assumptions &amp; Inputs'!$D$66,AG65))*AM65)*AS65)+AX65)*VLOOKUP("IN-34",'Assumptions &amp; Inputs'!$A$31:$F$69,4,FALSE),0),0)</f>
        <v>34344</v>
      </c>
      <c r="BZ65" s="4">
        <f>IF(BP65=1,((AK65+(IF(R65="IN-07",'Assumptions &amp; Inputs'!$E$66,AH65))*AN65)*AS65)+AY65+(((AK65+(IF(R65="IN-07",'Assumptions &amp; Inputs'!$E$66,AH65))*AN65)*AS65)*AZ65)+IF(BD65="Yes",(((AK65+(IF(R65="IN-07",'Assumptions &amp; Inputs'!$E$66,AH65))*AN65)*AS65)+AY65)*VLOOKUP("IN-34",'Assumptions &amp; Inputs'!$A$31:$F$69,5,FALSE),0),0)</f>
        <v>113400</v>
      </c>
      <c r="CA65" s="4">
        <f>IF(BQ65=1,((AI65+(IF(R65="IN-07",'Assumptions &amp; Inputs'!$C$65,AF65))*AL65)*AS65)+AW65+(((AI65+(IF(R65="IN-07",'Assumptions &amp; Inputs'!$C$65,AF65))*AL65)*AS65)*AZ65)+IF(BD65="Yes",(((AI65+(IF(R65="IN-07",'Assumptions &amp; Inputs'!$C$65,AF65))*AL65)*AS65)+AW65)*VLOOKUP("IN-34",'Assumptions &amp; Inputs'!$A$31:$F$69,3,FALSE),0),0)</f>
        <v>12636</v>
      </c>
      <c r="CB65" s="4">
        <f>IF(BQ65=1,((AJ65+(IF(R65="IN-07",'Assumptions &amp; Inputs'!$D$65,AG65))*AM65)*AS65)+AX65+(((AJ65+(IF(R65="IN-07",'Assumptions &amp; Inputs'!$D$65,AG65))*AM65)*AS65)*AZ65)+IF(BD65="Yes",(((AJ65+(IF(R65="IN-07",'Assumptions &amp; Inputs'!$D$65,AG65))*AM65)*AS65)+AX65)*VLOOKUP("IN-34",'Assumptions &amp; Inputs'!$A$31:$F$69,4,FALSE),0),0)</f>
        <v>34344</v>
      </c>
      <c r="CC65" s="4">
        <f>IF(BQ65=1,((AK65+(IF(R65="IN-07",'Assumptions &amp; Inputs'!$E$65,AH65))*AN65)*AS65)+AY65+(((AK65+(IF(R65="IN-07",'Assumptions &amp; Inputs'!$E$65,AH65))*AN65)*AS65)*AZ65)+IF(BD65="Yes",(((AK65+(IF(R65="IN-07",'Assumptions &amp; Inputs'!$E$65,AH65))*AN65)*AS65)+AY65)*VLOOKUP("IN-34",'Assumptions &amp; Inputs'!$A$31:$F$69,5,FALSE),0),0)</f>
        <v>113400</v>
      </c>
      <c r="CD65" s="4">
        <f>IF(BR65=1,((AI65+(IF(R65="IN-07",'Assumptions &amp; Inputs'!$C$65,AF65))*AL65)*AS65)+AW65+(((AI65+(IF(R65="IN-07",'Assumptions &amp; Inputs'!$C$65,AF65))*AL65)*AS65)*AZ65)+IF(BD65="Yes",(((AI65+(IF(R65="IN-07",'Assumptions &amp; Inputs'!$C$65,AF65))*AL65)*AS65)+AW65)*VLOOKUP("IN-34",'Assumptions &amp; Inputs'!$A$31:$F$69,3,FALSE),0),0)</f>
        <v>12636</v>
      </c>
      <c r="CE65" s="4">
        <f>IF(BR65=1,((AJ65+(IF(R65="IN-07",'Assumptions &amp; Inputs'!$D$65,AG65))*AM65)*AS65)+AX65+(((AJ65+(IF(R65="IN-07",'Assumptions &amp; Inputs'!$D$65,AG65))*AM65)*AS65)*AZ65)+IF(BD65="Yes",(((AJ65+(IF(R65="IN-07",'Assumptions &amp; Inputs'!$D$65,AG65))*AM65)*AS65)+AX65)*VLOOKUP("IN-34",'Assumptions &amp; Inputs'!$A$31:$F$69,4,FALSE),0),0)</f>
        <v>34344</v>
      </c>
      <c r="CF65" s="4">
        <f>IF(BR65=1,((AK65+(IF(R65="IN-07",'Assumptions &amp; Inputs'!$E$65,AH65))*AN65)*AS65)+AY65+(((AK65+(IF(R65="IN-07",'Assumptions &amp; Inputs'!$E$65,AH65))*AN65)*AS65)*AZ65)+IF(BD65="Yes",(((AK65+(IF(R65="IN-07",'Assumptions &amp; Inputs'!$E$65,AH65))*AN65)*AS65)+AY65)*VLOOKUP("IN-34",'Assumptions &amp; Inputs'!$A$31:$F$69,5,FALSE),0),0)</f>
        <v>113400</v>
      </c>
      <c r="CG65" s="4">
        <f>IF(BS65=1,((AI65+(IF(R65="IN-07",0,AF65))*AL65)*AS65)+AW65+(((AI65+(IF(R65="IN-07",0,AF65))*AL65)*AS65)*AZ65)+IF(BD65="Yes",(((AI65+(IF(R65="IN-07",0,AF65))*AL65)*AS65)+AW65)*VLOOKUP("IN-34",'Assumptions &amp; Inputs'!$A$31:$F$69,3,FALSE),0),0)</f>
        <v>12636</v>
      </c>
      <c r="CH65" s="4">
        <f>IF(BS65=1,((AJ65+(IF(R65="IN-07",0,AG65))*AM65)*AS65)+AX65+(((AJ65+(IF(R65="IN-07",0,AG65))*AM65)*AS65)*AZ65)+IF(BD65="Yes",(((AJ65+(IF(R65="IN-07",0,AG65))*AM65)*AS65)+AX65)*VLOOKUP("IN-34",'Assumptions &amp; Inputs'!$A$31:$F$69,4,FALSE),0),0)</f>
        <v>34344</v>
      </c>
      <c r="CI65" s="4">
        <f>IF(BS65=1,((AK65+(IF(R65="IN-07",0,AH65))*AN65)*AS65)+AY65+(((AK65+(IF(R65="IN-07",0,AH65))*AN65)*AS65)*AZ65)+IF(BD65="Yes",(((AK65+(IF(R65="IN-07",0,AH65))*AN65)*AS65)+AY65)*VLOOKUP("IN-34",'Assumptions &amp; Inputs'!$A$31:$F$69,5,FALSE),0),0)</f>
        <v>113400</v>
      </c>
      <c r="CJ65" s="4">
        <f>IF(BT65=1,((AI65+(IF(R65="IN-07",0,AF65))*AL65)*AS65)+AW65+(((AI65+(IF(R65="IN-07",0,AF65))*AL65)*AS65)*AZ65)+IF(BD65="Yes",(((AI65+(IF(R65="IN-07",0,AF65))*AL65)*AS65)+AW65)*VLOOKUP("IN-34",'Assumptions &amp; Inputs'!$A$31:$F$69,3,FALSE),0),0)</f>
        <v>12636</v>
      </c>
      <c r="CK65" s="4">
        <f>IF(BT65=1,((AJ65+(IF(R65="IN-07",0,AG65))*AM65)*AS65)+AX65+(((AJ65+(IF(R65="IN-07",0,AG65))*AM65)*AS65)*AZ65)+IF(BD65="Yes",(((AJ65+(IF(R65="IN-07",0,AG65))*AM65)*AS65)+AX65)*VLOOKUP("IN-34",'Assumptions &amp; Inputs'!$A$31:$F$69,4,FALSE),0),0)</f>
        <v>34344</v>
      </c>
      <c r="CL65" s="4">
        <f>IF(BT65=1,((AK65+(IF(R65="IN-07",0,AH65))*AN65)*AS65)+AY65+(((AK65+(IF(R65="IN-07",0,AH65))*AN65)*AS65)*AZ65)+IF(BD65="Yes",(((AK65+(IF(R65="IN-07",0,AH65))*AN65)*AS65)+AY65)*VLOOKUP("IN-34",'Assumptions &amp; Inputs'!$A$31:$F$69,5,FALSE),0),0)</f>
        <v>113400</v>
      </c>
    </row>
    <row r="66" spans="1:90" ht="43.5" x14ac:dyDescent="0.35">
      <c r="A66" s="1" t="s">
        <v>1297</v>
      </c>
      <c r="B66" s="1" t="s">
        <v>200</v>
      </c>
      <c r="C66" s="1" t="s">
        <v>50</v>
      </c>
      <c r="D66" s="1" t="s">
        <v>54</v>
      </c>
      <c r="E66" s="1" t="s">
        <v>1298</v>
      </c>
      <c r="F66" s="1" t="s">
        <v>1299</v>
      </c>
      <c r="G66" s="1" t="s">
        <v>1300</v>
      </c>
      <c r="H66" s="1" t="s">
        <v>1301</v>
      </c>
      <c r="I66" s="1" t="s">
        <v>1265</v>
      </c>
      <c r="J66" s="1" t="s">
        <v>1302</v>
      </c>
      <c r="K66" s="1" t="s">
        <v>1303</v>
      </c>
      <c r="L66" s="1" t="s">
        <v>1265</v>
      </c>
      <c r="M66" s="1" t="s">
        <v>532</v>
      </c>
      <c r="N66" s="1" t="s">
        <v>156</v>
      </c>
      <c r="O66" s="1" t="s">
        <v>533</v>
      </c>
      <c r="P66" s="1" t="s">
        <v>593</v>
      </c>
      <c r="Q66" s="1" t="s">
        <v>1268</v>
      </c>
      <c r="R66" s="1" t="s">
        <v>303</v>
      </c>
      <c r="S66" s="1" t="s">
        <v>1028</v>
      </c>
      <c r="T66" s="1" t="s">
        <v>1149</v>
      </c>
      <c r="U66" s="1" t="s">
        <v>1304</v>
      </c>
      <c r="V66" s="1" t="s">
        <v>1271</v>
      </c>
      <c r="W66" s="1" t="s">
        <v>1305</v>
      </c>
      <c r="X66" s="1" t="s">
        <v>1306</v>
      </c>
      <c r="Y66" s="1" t="s">
        <v>171</v>
      </c>
      <c r="Z66" s="1" t="s">
        <v>543</v>
      </c>
      <c r="AA66" s="1" t="s">
        <v>1274</v>
      </c>
      <c r="AB66" s="1" t="s">
        <v>36</v>
      </c>
      <c r="AC66" s="1" t="s">
        <v>1307</v>
      </c>
      <c r="AD66" s="1" t="s">
        <v>868</v>
      </c>
      <c r="AE66" s="22">
        <f>IF(ISNUMBER(SEARCH('Scenario Definitions'!$C$5,N66)),1,0)</f>
        <v>1</v>
      </c>
      <c r="AF66" s="22">
        <f>IFERROR(VLOOKUP(R66,'Assumptions &amp; Inputs'!$A$31:$F$69,3,FALSE),0)</f>
        <v>6</v>
      </c>
      <c r="AG66" s="22">
        <f>IFERROR(VLOOKUP(R66,'Assumptions &amp; Inputs'!$A$31:$F$69,4,FALSE),0)</f>
        <v>12</v>
      </c>
      <c r="AH66" s="23">
        <f>IFERROR(VLOOKUP(R66,'Assumptions &amp; Inputs'!$A$31:$F$69,5,FALSE),0)</f>
        <v>25</v>
      </c>
      <c r="AI66" s="11">
        <v>0</v>
      </c>
      <c r="AJ66" s="11">
        <v>0</v>
      </c>
      <c r="AK66" s="11">
        <v>0</v>
      </c>
      <c r="AL66" s="11">
        <v>12.1</v>
      </c>
      <c r="AM66" s="11">
        <v>16.2</v>
      </c>
      <c r="AN66" s="11">
        <v>24.3</v>
      </c>
      <c r="AO66" s="39">
        <f t="shared" si="18"/>
        <v>72.599999999999994</v>
      </c>
      <c r="AP66" s="22">
        <f t="shared" si="19"/>
        <v>194.39999999999998</v>
      </c>
      <c r="AQ66" s="23">
        <f t="shared" si="20"/>
        <v>607.5</v>
      </c>
      <c r="AR66" s="58" t="s">
        <v>431</v>
      </c>
      <c r="AS66" s="35">
        <f>IFERROR(VLOOKUP(AR66,'Assumptions &amp; Inputs'!$A$73:$I$100,9,FALSE),0)</f>
        <v>125</v>
      </c>
      <c r="AT66" s="30">
        <f t="shared" si="21"/>
        <v>9075</v>
      </c>
      <c r="AU66" s="30">
        <f t="shared" si="22"/>
        <v>24299.999999999996</v>
      </c>
      <c r="AV66" s="31">
        <f t="shared" si="23"/>
        <v>75937.5</v>
      </c>
      <c r="AW66" s="57">
        <v>0</v>
      </c>
      <c r="AX66" s="57">
        <v>0</v>
      </c>
      <c r="AY66" s="57">
        <v>0</v>
      </c>
      <c r="AZ66" s="35">
        <f>IFERROR(VLOOKUP(C66,'Assumptions &amp; Inputs'!$A$104:$B$107,2,FALSE),0)</f>
        <v>0.25</v>
      </c>
      <c r="BA66" s="30">
        <f t="shared" si="24"/>
        <v>2268.75</v>
      </c>
      <c r="BB66" s="30">
        <f t="shared" si="25"/>
        <v>6074.9999999999991</v>
      </c>
      <c r="BC66" s="31">
        <f t="shared" si="26"/>
        <v>18984.375</v>
      </c>
      <c r="BD66" s="57" t="s">
        <v>209</v>
      </c>
      <c r="BE66" s="35">
        <f>IF(BD66="Yes",(AT66+AW66)*VLOOKUP("IN-34",'Assumptions &amp; Inputs'!$A$31:$F$69,3,FALSE),0)</f>
        <v>453.75</v>
      </c>
      <c r="BF66" s="30">
        <f>IF(BD66="Yes",(AU66+AX66)*VLOOKUP("IN-34",'Assumptions &amp; Inputs'!$A$31:$F$69,4,FALSE),0)</f>
        <v>1822.4999999999998</v>
      </c>
      <c r="BG66" s="30">
        <f>IF(BD66="Yes",(AV66+AY66)*VLOOKUP("IN-34",'Assumptions &amp; Inputs'!$A$31:$F$69,5,FALSE),0)</f>
        <v>11390.625</v>
      </c>
      <c r="BH66" s="30">
        <f t="shared" si="27"/>
        <v>11797.5</v>
      </c>
      <c r="BI66" s="30">
        <f t="shared" si="28"/>
        <v>32197.499999999996</v>
      </c>
      <c r="BJ66" s="31">
        <f t="shared" si="29"/>
        <v>106312.5</v>
      </c>
      <c r="BK66" s="58" t="s">
        <v>548</v>
      </c>
      <c r="BL66" s="58" t="s">
        <v>549</v>
      </c>
      <c r="BM66" s="58" t="s">
        <v>1274</v>
      </c>
      <c r="BN66" s="58" t="s">
        <v>550</v>
      </c>
      <c r="BO66" s="5">
        <f t="shared" si="30"/>
        <v>1</v>
      </c>
      <c r="BP66" s="5">
        <f t="shared" si="31"/>
        <v>1</v>
      </c>
      <c r="BQ66" s="5">
        <f t="shared" si="32"/>
        <v>1</v>
      </c>
      <c r="BR66" s="5">
        <f t="shared" si="33"/>
        <v>1</v>
      </c>
      <c r="BS66" s="5">
        <f t="shared" si="34"/>
        <v>1</v>
      </c>
      <c r="BT66" s="5">
        <f t="shared" si="35"/>
        <v>1</v>
      </c>
      <c r="BU66" s="4">
        <f>IF(BO66=1,((AI66+(IF(R66="IN-07",'Assumptions &amp; Inputs'!$C$66,AF66))*AL66)*AS66)+AW66+(((AI66+(IF(R66="IN-07",'Assumptions &amp; Inputs'!$C$66,AF66))*AL66)*AS66)*AZ66)+IF(BD66="Yes",(((AI66+(IF(R66="IN-07",'Assumptions &amp; Inputs'!$C$66,AF66))*AL66)*AS66)+AW66)*VLOOKUP("IN-34",'Assumptions &amp; Inputs'!$A$31:$F$69,3,FALSE),0),0)</f>
        <v>11797.5</v>
      </c>
      <c r="BV66" s="4">
        <f>IF(BO66=1,((AJ66+(IF(R66="IN-07",'Assumptions &amp; Inputs'!$D$66,AG66))*AM66)*AS66)+AX66+(((AJ66+(IF(R66="IN-07",'Assumptions &amp; Inputs'!$D$66,AG66))*AM66)*AS66)*AZ66)+IF(BD66="Yes",(((AJ66+(IF(R66="IN-07",'Assumptions &amp; Inputs'!$D$66,AG66))*AM66)*AS66)+AX66)*VLOOKUP("IN-34",'Assumptions &amp; Inputs'!$A$31:$F$69,4,FALSE),0),0)</f>
        <v>32197.499999999996</v>
      </c>
      <c r="BW66" s="4">
        <f>IF(BO66=1,((AK66+(IF(R66="IN-07",'Assumptions &amp; Inputs'!$E$66,AH66))*AN66)*AS66)+AY66+(((AK66+(IF(R66="IN-07",'Assumptions &amp; Inputs'!$E$66,AH66))*AN66)*AS66)*AZ66)+IF(BD66="Yes",(((AK66+(IF(R66="IN-07",'Assumptions &amp; Inputs'!$E$66,AH66))*AN66)*AS66)+AY66)*VLOOKUP("IN-34",'Assumptions &amp; Inputs'!$A$31:$F$69,5,FALSE),0),0)</f>
        <v>106312.5</v>
      </c>
      <c r="BX66" s="4">
        <f>IF(BP66=1,((AI66+(IF(R66="IN-07",'Assumptions &amp; Inputs'!$C$66,AF66))*AL66)*AS66)+AW66+(((AI66+(IF(R66="IN-07",'Assumptions &amp; Inputs'!$C$66,AF66))*AL66)*AS66)*AZ66)+IF(BD66="Yes",(((AI66+(IF(R66="IN-07",'Assumptions &amp; Inputs'!$C$66,AF66))*AL66)*AS66)+AW66)*VLOOKUP("IN-34",'Assumptions &amp; Inputs'!$A$31:$F$69,3,FALSE),0),0)</f>
        <v>11797.5</v>
      </c>
      <c r="BY66" s="4">
        <f>IF(BP66=1,((AJ66+(IF(R66="IN-07",'Assumptions &amp; Inputs'!$D$66,AG66))*AM66)*AS66)+AX66+(((AJ66+(IF(R66="IN-07",'Assumptions &amp; Inputs'!$D$66,AG66))*AM66)*AS66)*AZ66)+IF(BD66="Yes",(((AJ66+(IF(R66="IN-07",'Assumptions &amp; Inputs'!$D$66,AG66))*AM66)*AS66)+AX66)*VLOOKUP("IN-34",'Assumptions &amp; Inputs'!$A$31:$F$69,4,FALSE),0),0)</f>
        <v>32197.499999999996</v>
      </c>
      <c r="BZ66" s="4">
        <f>IF(BP66=1,((AK66+(IF(R66="IN-07",'Assumptions &amp; Inputs'!$E$66,AH66))*AN66)*AS66)+AY66+(((AK66+(IF(R66="IN-07",'Assumptions &amp; Inputs'!$E$66,AH66))*AN66)*AS66)*AZ66)+IF(BD66="Yes",(((AK66+(IF(R66="IN-07",'Assumptions &amp; Inputs'!$E$66,AH66))*AN66)*AS66)+AY66)*VLOOKUP("IN-34",'Assumptions &amp; Inputs'!$A$31:$F$69,5,FALSE),0),0)</f>
        <v>106312.5</v>
      </c>
      <c r="CA66" s="4">
        <f>IF(BQ66=1,((AI66+(IF(R66="IN-07",'Assumptions &amp; Inputs'!$C$65,AF66))*AL66)*AS66)+AW66+(((AI66+(IF(R66="IN-07",'Assumptions &amp; Inputs'!$C$65,AF66))*AL66)*AS66)*AZ66)+IF(BD66="Yes",(((AI66+(IF(R66="IN-07",'Assumptions &amp; Inputs'!$C$65,AF66))*AL66)*AS66)+AW66)*VLOOKUP("IN-34",'Assumptions &amp; Inputs'!$A$31:$F$69,3,FALSE),0),0)</f>
        <v>11797.5</v>
      </c>
      <c r="CB66" s="4">
        <f>IF(BQ66=1,((AJ66+(IF(R66="IN-07",'Assumptions &amp; Inputs'!$D$65,AG66))*AM66)*AS66)+AX66+(((AJ66+(IF(R66="IN-07",'Assumptions &amp; Inputs'!$D$65,AG66))*AM66)*AS66)*AZ66)+IF(BD66="Yes",(((AJ66+(IF(R66="IN-07",'Assumptions &amp; Inputs'!$D$65,AG66))*AM66)*AS66)+AX66)*VLOOKUP("IN-34",'Assumptions &amp; Inputs'!$A$31:$F$69,4,FALSE),0),0)</f>
        <v>32197.499999999996</v>
      </c>
      <c r="CC66" s="4">
        <f>IF(BQ66=1,((AK66+(IF(R66="IN-07",'Assumptions &amp; Inputs'!$E$65,AH66))*AN66)*AS66)+AY66+(((AK66+(IF(R66="IN-07",'Assumptions &amp; Inputs'!$E$65,AH66))*AN66)*AS66)*AZ66)+IF(BD66="Yes",(((AK66+(IF(R66="IN-07",'Assumptions &amp; Inputs'!$E$65,AH66))*AN66)*AS66)+AY66)*VLOOKUP("IN-34",'Assumptions &amp; Inputs'!$A$31:$F$69,5,FALSE),0),0)</f>
        <v>106312.5</v>
      </c>
      <c r="CD66" s="4">
        <f>IF(BR66=1,((AI66+(IF(R66="IN-07",'Assumptions &amp; Inputs'!$C$65,AF66))*AL66)*AS66)+AW66+(((AI66+(IF(R66="IN-07",'Assumptions &amp; Inputs'!$C$65,AF66))*AL66)*AS66)*AZ66)+IF(BD66="Yes",(((AI66+(IF(R66="IN-07",'Assumptions &amp; Inputs'!$C$65,AF66))*AL66)*AS66)+AW66)*VLOOKUP("IN-34",'Assumptions &amp; Inputs'!$A$31:$F$69,3,FALSE),0),0)</f>
        <v>11797.5</v>
      </c>
      <c r="CE66" s="4">
        <f>IF(BR66=1,((AJ66+(IF(R66="IN-07",'Assumptions &amp; Inputs'!$D$65,AG66))*AM66)*AS66)+AX66+(((AJ66+(IF(R66="IN-07",'Assumptions &amp; Inputs'!$D$65,AG66))*AM66)*AS66)*AZ66)+IF(BD66="Yes",(((AJ66+(IF(R66="IN-07",'Assumptions &amp; Inputs'!$D$65,AG66))*AM66)*AS66)+AX66)*VLOOKUP("IN-34",'Assumptions &amp; Inputs'!$A$31:$F$69,4,FALSE),0),0)</f>
        <v>32197.499999999996</v>
      </c>
      <c r="CF66" s="4">
        <f>IF(BR66=1,((AK66+(IF(R66="IN-07",'Assumptions &amp; Inputs'!$E$65,AH66))*AN66)*AS66)+AY66+(((AK66+(IF(R66="IN-07",'Assumptions &amp; Inputs'!$E$65,AH66))*AN66)*AS66)*AZ66)+IF(BD66="Yes",(((AK66+(IF(R66="IN-07",'Assumptions &amp; Inputs'!$E$65,AH66))*AN66)*AS66)+AY66)*VLOOKUP("IN-34",'Assumptions &amp; Inputs'!$A$31:$F$69,5,FALSE),0),0)</f>
        <v>106312.5</v>
      </c>
      <c r="CG66" s="4">
        <f>IF(BS66=1,((AI66+(IF(R66="IN-07",0,AF66))*AL66)*AS66)+AW66+(((AI66+(IF(R66="IN-07",0,AF66))*AL66)*AS66)*AZ66)+IF(BD66="Yes",(((AI66+(IF(R66="IN-07",0,AF66))*AL66)*AS66)+AW66)*VLOOKUP("IN-34",'Assumptions &amp; Inputs'!$A$31:$F$69,3,FALSE),0),0)</f>
        <v>11797.5</v>
      </c>
      <c r="CH66" s="4">
        <f>IF(BS66=1,((AJ66+(IF(R66="IN-07",0,AG66))*AM66)*AS66)+AX66+(((AJ66+(IF(R66="IN-07",0,AG66))*AM66)*AS66)*AZ66)+IF(BD66="Yes",(((AJ66+(IF(R66="IN-07",0,AG66))*AM66)*AS66)+AX66)*VLOOKUP("IN-34",'Assumptions &amp; Inputs'!$A$31:$F$69,4,FALSE),0),0)</f>
        <v>32197.499999999996</v>
      </c>
      <c r="CI66" s="4">
        <f>IF(BS66=1,((AK66+(IF(R66="IN-07",0,AH66))*AN66)*AS66)+AY66+(((AK66+(IF(R66="IN-07",0,AH66))*AN66)*AS66)*AZ66)+IF(BD66="Yes",(((AK66+(IF(R66="IN-07",0,AH66))*AN66)*AS66)+AY66)*VLOOKUP("IN-34",'Assumptions &amp; Inputs'!$A$31:$F$69,5,FALSE),0),0)</f>
        <v>106312.5</v>
      </c>
      <c r="CJ66" s="4">
        <f>IF(BT66=1,((AI66+(IF(R66="IN-07",0,AF66))*AL66)*AS66)+AW66+(((AI66+(IF(R66="IN-07",0,AF66))*AL66)*AS66)*AZ66)+IF(BD66="Yes",(((AI66+(IF(R66="IN-07",0,AF66))*AL66)*AS66)+AW66)*VLOOKUP("IN-34",'Assumptions &amp; Inputs'!$A$31:$F$69,3,FALSE),0),0)</f>
        <v>11797.5</v>
      </c>
      <c r="CK66" s="4">
        <f>IF(BT66=1,((AJ66+(IF(R66="IN-07",0,AG66))*AM66)*AS66)+AX66+(((AJ66+(IF(R66="IN-07",0,AG66))*AM66)*AS66)*AZ66)+IF(BD66="Yes",(((AJ66+(IF(R66="IN-07",0,AG66))*AM66)*AS66)+AX66)*VLOOKUP("IN-34",'Assumptions &amp; Inputs'!$A$31:$F$69,4,FALSE),0),0)</f>
        <v>32197.499999999996</v>
      </c>
      <c r="CL66" s="4">
        <f>IF(BT66=1,((AK66+(IF(R66="IN-07",0,AH66))*AN66)*AS66)+AY66+(((AK66+(IF(R66="IN-07",0,AH66))*AN66)*AS66)*AZ66)+IF(BD66="Yes",(((AK66+(IF(R66="IN-07",0,AH66))*AN66)*AS66)+AY66)*VLOOKUP("IN-34",'Assumptions &amp; Inputs'!$A$31:$F$69,5,FALSE),0),0)</f>
        <v>106312.5</v>
      </c>
    </row>
    <row r="67" spans="1:90" ht="43.5" x14ac:dyDescent="0.35">
      <c r="A67" s="1" t="s">
        <v>1308</v>
      </c>
      <c r="B67" s="1" t="s">
        <v>200</v>
      </c>
      <c r="C67" s="1" t="s">
        <v>50</v>
      </c>
      <c r="D67" s="1" t="s">
        <v>54</v>
      </c>
      <c r="E67" s="1" t="s">
        <v>1309</v>
      </c>
      <c r="F67" s="1" t="s">
        <v>1310</v>
      </c>
      <c r="G67" s="1" t="s">
        <v>1311</v>
      </c>
      <c r="H67" s="1" t="s">
        <v>1312</v>
      </c>
      <c r="I67" s="1" t="s">
        <v>1265</v>
      </c>
      <c r="J67" s="1" t="s">
        <v>1302</v>
      </c>
      <c r="K67" s="1" t="s">
        <v>1313</v>
      </c>
      <c r="L67" s="1" t="s">
        <v>1265</v>
      </c>
      <c r="M67" s="1" t="s">
        <v>532</v>
      </c>
      <c r="N67" s="1" t="s">
        <v>670</v>
      </c>
      <c r="O67" s="1" t="s">
        <v>671</v>
      </c>
      <c r="P67" s="1" t="s">
        <v>593</v>
      </c>
      <c r="Q67" s="1" t="s">
        <v>1268</v>
      </c>
      <c r="R67" s="1" t="s">
        <v>303</v>
      </c>
      <c r="S67" s="1" t="s">
        <v>1028</v>
      </c>
      <c r="T67" s="1" t="s">
        <v>1149</v>
      </c>
      <c r="U67" s="1" t="s">
        <v>1314</v>
      </c>
      <c r="V67" s="1" t="s">
        <v>1271</v>
      </c>
      <c r="W67" s="1" t="s">
        <v>1305</v>
      </c>
      <c r="X67" s="1" t="s">
        <v>928</v>
      </c>
      <c r="Y67" s="1" t="s">
        <v>171</v>
      </c>
      <c r="Z67" s="1" t="s">
        <v>543</v>
      </c>
      <c r="AA67" s="1" t="s">
        <v>1274</v>
      </c>
      <c r="AB67" s="1" t="s">
        <v>36</v>
      </c>
      <c r="AC67" s="1" t="s">
        <v>675</v>
      </c>
      <c r="AD67" s="1" t="s">
        <v>676</v>
      </c>
      <c r="AE67" s="22">
        <f>IF(ISNUMBER(SEARCH('Scenario Definitions'!$C$5,N67)),1,0)</f>
        <v>0</v>
      </c>
      <c r="AF67" s="22">
        <f>IFERROR(VLOOKUP(R67,'Assumptions &amp; Inputs'!$A$31:$F$69,3,FALSE),0)</f>
        <v>6</v>
      </c>
      <c r="AG67" s="22">
        <f>IFERROR(VLOOKUP(R67,'Assumptions &amp; Inputs'!$A$31:$F$69,4,FALSE),0)</f>
        <v>12</v>
      </c>
      <c r="AH67" s="23">
        <f>IFERROR(VLOOKUP(R67,'Assumptions &amp; Inputs'!$A$31:$F$69,5,FALSE),0)</f>
        <v>25</v>
      </c>
      <c r="AI67" s="11">
        <v>0</v>
      </c>
      <c r="AJ67" s="11">
        <v>0</v>
      </c>
      <c r="AK67" s="11">
        <v>0</v>
      </c>
      <c r="AL67" s="11">
        <v>12.1</v>
      </c>
      <c r="AM67" s="11">
        <v>16.2</v>
      </c>
      <c r="AN67" s="11">
        <v>24.3</v>
      </c>
      <c r="AO67" s="39">
        <f t="shared" si="18"/>
        <v>72.599999999999994</v>
      </c>
      <c r="AP67" s="22">
        <f t="shared" si="19"/>
        <v>194.39999999999998</v>
      </c>
      <c r="AQ67" s="23">
        <f t="shared" si="20"/>
        <v>607.5</v>
      </c>
      <c r="AR67" s="58" t="s">
        <v>431</v>
      </c>
      <c r="AS67" s="35">
        <f>IFERROR(VLOOKUP(AR67,'Assumptions &amp; Inputs'!$A$73:$I$100,9,FALSE),0)</f>
        <v>125</v>
      </c>
      <c r="AT67" s="30">
        <f t="shared" si="21"/>
        <v>9075</v>
      </c>
      <c r="AU67" s="30">
        <f t="shared" si="22"/>
        <v>24299.999999999996</v>
      </c>
      <c r="AV67" s="31">
        <f t="shared" si="23"/>
        <v>75937.5</v>
      </c>
      <c r="AW67" s="57">
        <v>0</v>
      </c>
      <c r="AX67" s="57">
        <v>0</v>
      </c>
      <c r="AY67" s="57">
        <v>0</v>
      </c>
      <c r="AZ67" s="35">
        <f>IFERROR(VLOOKUP(C67,'Assumptions &amp; Inputs'!$A$104:$B$107,2,FALSE),0)</f>
        <v>0.25</v>
      </c>
      <c r="BA67" s="30">
        <f t="shared" si="24"/>
        <v>2268.75</v>
      </c>
      <c r="BB67" s="30">
        <f t="shared" si="25"/>
        <v>6074.9999999999991</v>
      </c>
      <c r="BC67" s="31">
        <f t="shared" si="26"/>
        <v>18984.375</v>
      </c>
      <c r="BD67" s="57" t="s">
        <v>209</v>
      </c>
      <c r="BE67" s="35">
        <f>IF(BD67="Yes",(AT67+AW67)*VLOOKUP("IN-34",'Assumptions &amp; Inputs'!$A$31:$F$69,3,FALSE),0)</f>
        <v>453.75</v>
      </c>
      <c r="BF67" s="30">
        <f>IF(BD67="Yes",(AU67+AX67)*VLOOKUP("IN-34",'Assumptions &amp; Inputs'!$A$31:$F$69,4,FALSE),0)</f>
        <v>1822.4999999999998</v>
      </c>
      <c r="BG67" s="30">
        <f>IF(BD67="Yes",(AV67+AY67)*VLOOKUP("IN-34",'Assumptions &amp; Inputs'!$A$31:$F$69,5,FALSE),0)</f>
        <v>11390.625</v>
      </c>
      <c r="BH67" s="30">
        <f t="shared" si="27"/>
        <v>11797.5</v>
      </c>
      <c r="BI67" s="30">
        <f t="shared" si="28"/>
        <v>32197.499999999996</v>
      </c>
      <c r="BJ67" s="31">
        <f t="shared" si="29"/>
        <v>106312.5</v>
      </c>
      <c r="BK67" s="58" t="s">
        <v>548</v>
      </c>
      <c r="BL67" s="58" t="s">
        <v>549</v>
      </c>
      <c r="BM67" s="58" t="s">
        <v>1274</v>
      </c>
      <c r="BN67" s="58" t="s">
        <v>550</v>
      </c>
      <c r="BO67" s="5">
        <f t="shared" si="30"/>
        <v>0</v>
      </c>
      <c r="BP67" s="5">
        <f t="shared" si="31"/>
        <v>1</v>
      </c>
      <c r="BQ67" s="5">
        <f t="shared" si="32"/>
        <v>0</v>
      </c>
      <c r="BR67" s="5">
        <f t="shared" si="33"/>
        <v>1</v>
      </c>
      <c r="BS67" s="5">
        <f t="shared" si="34"/>
        <v>0</v>
      </c>
      <c r="BT67" s="5">
        <f t="shared" si="35"/>
        <v>1</v>
      </c>
      <c r="BU67" s="4">
        <f>IF(BO67=1,((AI67+(IF(R67="IN-07",'Assumptions &amp; Inputs'!$C$66,AF67))*AL67)*AS67)+AW67+(((AI67+(IF(R67="IN-07",'Assumptions &amp; Inputs'!$C$66,AF67))*AL67)*AS67)*AZ67)+IF(BD67="Yes",(((AI67+(IF(R67="IN-07",'Assumptions &amp; Inputs'!$C$66,AF67))*AL67)*AS67)+AW67)*VLOOKUP("IN-34",'Assumptions &amp; Inputs'!$A$31:$F$69,3,FALSE),0),0)</f>
        <v>0</v>
      </c>
      <c r="BV67" s="4">
        <f>IF(BO67=1,((AJ67+(IF(R67="IN-07",'Assumptions &amp; Inputs'!$D$66,AG67))*AM67)*AS67)+AX67+(((AJ67+(IF(R67="IN-07",'Assumptions &amp; Inputs'!$D$66,AG67))*AM67)*AS67)*AZ67)+IF(BD67="Yes",(((AJ67+(IF(R67="IN-07",'Assumptions &amp; Inputs'!$D$66,AG67))*AM67)*AS67)+AX67)*VLOOKUP("IN-34",'Assumptions &amp; Inputs'!$A$31:$F$69,4,FALSE),0),0)</f>
        <v>0</v>
      </c>
      <c r="BW67" s="4">
        <f>IF(BO67=1,((AK67+(IF(R67="IN-07",'Assumptions &amp; Inputs'!$E$66,AH67))*AN67)*AS67)+AY67+(((AK67+(IF(R67="IN-07",'Assumptions &amp; Inputs'!$E$66,AH67))*AN67)*AS67)*AZ67)+IF(BD67="Yes",(((AK67+(IF(R67="IN-07",'Assumptions &amp; Inputs'!$E$66,AH67))*AN67)*AS67)+AY67)*VLOOKUP("IN-34",'Assumptions &amp; Inputs'!$A$31:$F$69,5,FALSE),0),0)</f>
        <v>0</v>
      </c>
      <c r="BX67" s="4">
        <f>IF(BP67=1,((AI67+(IF(R67="IN-07",'Assumptions &amp; Inputs'!$C$66,AF67))*AL67)*AS67)+AW67+(((AI67+(IF(R67="IN-07",'Assumptions &amp; Inputs'!$C$66,AF67))*AL67)*AS67)*AZ67)+IF(BD67="Yes",(((AI67+(IF(R67="IN-07",'Assumptions &amp; Inputs'!$C$66,AF67))*AL67)*AS67)+AW67)*VLOOKUP("IN-34",'Assumptions &amp; Inputs'!$A$31:$F$69,3,FALSE),0),0)</f>
        <v>11797.5</v>
      </c>
      <c r="BY67" s="4">
        <f>IF(BP67=1,((AJ67+(IF(R67="IN-07",'Assumptions &amp; Inputs'!$D$66,AG67))*AM67)*AS67)+AX67+(((AJ67+(IF(R67="IN-07",'Assumptions &amp; Inputs'!$D$66,AG67))*AM67)*AS67)*AZ67)+IF(BD67="Yes",(((AJ67+(IF(R67="IN-07",'Assumptions &amp; Inputs'!$D$66,AG67))*AM67)*AS67)+AX67)*VLOOKUP("IN-34",'Assumptions &amp; Inputs'!$A$31:$F$69,4,FALSE),0),0)</f>
        <v>32197.499999999996</v>
      </c>
      <c r="BZ67" s="4">
        <f>IF(BP67=1,((AK67+(IF(R67="IN-07",'Assumptions &amp; Inputs'!$E$66,AH67))*AN67)*AS67)+AY67+(((AK67+(IF(R67="IN-07",'Assumptions &amp; Inputs'!$E$66,AH67))*AN67)*AS67)*AZ67)+IF(BD67="Yes",(((AK67+(IF(R67="IN-07",'Assumptions &amp; Inputs'!$E$66,AH67))*AN67)*AS67)+AY67)*VLOOKUP("IN-34",'Assumptions &amp; Inputs'!$A$31:$F$69,5,FALSE),0),0)</f>
        <v>106312.5</v>
      </c>
      <c r="CA67" s="4">
        <f>IF(BQ67=1,((AI67+(IF(R67="IN-07",'Assumptions &amp; Inputs'!$C$65,AF67))*AL67)*AS67)+AW67+(((AI67+(IF(R67="IN-07",'Assumptions &amp; Inputs'!$C$65,AF67))*AL67)*AS67)*AZ67)+IF(BD67="Yes",(((AI67+(IF(R67="IN-07",'Assumptions &amp; Inputs'!$C$65,AF67))*AL67)*AS67)+AW67)*VLOOKUP("IN-34",'Assumptions &amp; Inputs'!$A$31:$F$69,3,FALSE),0),0)</f>
        <v>0</v>
      </c>
      <c r="CB67" s="4">
        <f>IF(BQ67=1,((AJ67+(IF(R67="IN-07",'Assumptions &amp; Inputs'!$D$65,AG67))*AM67)*AS67)+AX67+(((AJ67+(IF(R67="IN-07",'Assumptions &amp; Inputs'!$D$65,AG67))*AM67)*AS67)*AZ67)+IF(BD67="Yes",(((AJ67+(IF(R67="IN-07",'Assumptions &amp; Inputs'!$D$65,AG67))*AM67)*AS67)+AX67)*VLOOKUP("IN-34",'Assumptions &amp; Inputs'!$A$31:$F$69,4,FALSE),0),0)</f>
        <v>0</v>
      </c>
      <c r="CC67" s="4">
        <f>IF(BQ67=1,((AK67+(IF(R67="IN-07",'Assumptions &amp; Inputs'!$E$65,AH67))*AN67)*AS67)+AY67+(((AK67+(IF(R67="IN-07",'Assumptions &amp; Inputs'!$E$65,AH67))*AN67)*AS67)*AZ67)+IF(BD67="Yes",(((AK67+(IF(R67="IN-07",'Assumptions &amp; Inputs'!$E$65,AH67))*AN67)*AS67)+AY67)*VLOOKUP("IN-34",'Assumptions &amp; Inputs'!$A$31:$F$69,5,FALSE),0),0)</f>
        <v>0</v>
      </c>
      <c r="CD67" s="4">
        <f>IF(BR67=1,((AI67+(IF(R67="IN-07",'Assumptions &amp; Inputs'!$C$65,AF67))*AL67)*AS67)+AW67+(((AI67+(IF(R67="IN-07",'Assumptions &amp; Inputs'!$C$65,AF67))*AL67)*AS67)*AZ67)+IF(BD67="Yes",(((AI67+(IF(R67="IN-07",'Assumptions &amp; Inputs'!$C$65,AF67))*AL67)*AS67)+AW67)*VLOOKUP("IN-34",'Assumptions &amp; Inputs'!$A$31:$F$69,3,FALSE),0),0)</f>
        <v>11797.5</v>
      </c>
      <c r="CE67" s="4">
        <f>IF(BR67=1,((AJ67+(IF(R67="IN-07",'Assumptions &amp; Inputs'!$D$65,AG67))*AM67)*AS67)+AX67+(((AJ67+(IF(R67="IN-07",'Assumptions &amp; Inputs'!$D$65,AG67))*AM67)*AS67)*AZ67)+IF(BD67="Yes",(((AJ67+(IF(R67="IN-07",'Assumptions &amp; Inputs'!$D$65,AG67))*AM67)*AS67)+AX67)*VLOOKUP("IN-34",'Assumptions &amp; Inputs'!$A$31:$F$69,4,FALSE),0),0)</f>
        <v>32197.499999999996</v>
      </c>
      <c r="CF67" s="4">
        <f>IF(BR67=1,((AK67+(IF(R67="IN-07",'Assumptions &amp; Inputs'!$E$65,AH67))*AN67)*AS67)+AY67+(((AK67+(IF(R67="IN-07",'Assumptions &amp; Inputs'!$E$65,AH67))*AN67)*AS67)*AZ67)+IF(BD67="Yes",(((AK67+(IF(R67="IN-07",'Assumptions &amp; Inputs'!$E$65,AH67))*AN67)*AS67)+AY67)*VLOOKUP("IN-34",'Assumptions &amp; Inputs'!$A$31:$F$69,5,FALSE),0),0)</f>
        <v>106312.5</v>
      </c>
      <c r="CG67" s="4">
        <f>IF(BS67=1,((AI67+(IF(R67="IN-07",0,AF67))*AL67)*AS67)+AW67+(((AI67+(IF(R67="IN-07",0,AF67))*AL67)*AS67)*AZ67)+IF(BD67="Yes",(((AI67+(IF(R67="IN-07",0,AF67))*AL67)*AS67)+AW67)*VLOOKUP("IN-34",'Assumptions &amp; Inputs'!$A$31:$F$69,3,FALSE),0),0)</f>
        <v>0</v>
      </c>
      <c r="CH67" s="4">
        <f>IF(BS67=1,((AJ67+(IF(R67="IN-07",0,AG67))*AM67)*AS67)+AX67+(((AJ67+(IF(R67="IN-07",0,AG67))*AM67)*AS67)*AZ67)+IF(BD67="Yes",(((AJ67+(IF(R67="IN-07",0,AG67))*AM67)*AS67)+AX67)*VLOOKUP("IN-34",'Assumptions &amp; Inputs'!$A$31:$F$69,4,FALSE),0),0)</f>
        <v>0</v>
      </c>
      <c r="CI67" s="4">
        <f>IF(BS67=1,((AK67+(IF(R67="IN-07",0,AH67))*AN67)*AS67)+AY67+(((AK67+(IF(R67="IN-07",0,AH67))*AN67)*AS67)*AZ67)+IF(BD67="Yes",(((AK67+(IF(R67="IN-07",0,AH67))*AN67)*AS67)+AY67)*VLOOKUP("IN-34",'Assumptions &amp; Inputs'!$A$31:$F$69,5,FALSE),0),0)</f>
        <v>0</v>
      </c>
      <c r="CJ67" s="4">
        <f>IF(BT67=1,((AI67+(IF(R67="IN-07",0,AF67))*AL67)*AS67)+AW67+(((AI67+(IF(R67="IN-07",0,AF67))*AL67)*AS67)*AZ67)+IF(BD67="Yes",(((AI67+(IF(R67="IN-07",0,AF67))*AL67)*AS67)+AW67)*VLOOKUP("IN-34",'Assumptions &amp; Inputs'!$A$31:$F$69,3,FALSE),0),0)</f>
        <v>11797.5</v>
      </c>
      <c r="CK67" s="4">
        <f>IF(BT67=1,((AJ67+(IF(R67="IN-07",0,AG67))*AM67)*AS67)+AX67+(((AJ67+(IF(R67="IN-07",0,AG67))*AM67)*AS67)*AZ67)+IF(BD67="Yes",(((AJ67+(IF(R67="IN-07",0,AG67))*AM67)*AS67)+AX67)*VLOOKUP("IN-34",'Assumptions &amp; Inputs'!$A$31:$F$69,4,FALSE),0),0)</f>
        <v>32197.499999999996</v>
      </c>
      <c r="CL67" s="4">
        <f>IF(BT67=1,((AK67+(IF(R67="IN-07",0,AH67))*AN67)*AS67)+AY67+(((AK67+(IF(R67="IN-07",0,AH67))*AN67)*AS67)*AZ67)+IF(BD67="Yes",(((AK67+(IF(R67="IN-07",0,AH67))*AN67)*AS67)+AY67)*VLOOKUP("IN-34",'Assumptions &amp; Inputs'!$A$31:$F$69,5,FALSE),0),0)</f>
        <v>106312.5</v>
      </c>
    </row>
    <row r="68" spans="1:90" ht="43.5" x14ac:dyDescent="0.35">
      <c r="A68" s="1" t="s">
        <v>1315</v>
      </c>
      <c r="B68" s="1" t="s">
        <v>201</v>
      </c>
      <c r="C68" s="1" t="s">
        <v>50</v>
      </c>
      <c r="D68" s="1" t="s">
        <v>55</v>
      </c>
      <c r="E68" s="1" t="s">
        <v>1316</v>
      </c>
      <c r="F68" s="1" t="s">
        <v>1317</v>
      </c>
      <c r="G68" s="1" t="s">
        <v>1318</v>
      </c>
      <c r="H68" s="1" t="s">
        <v>1319</v>
      </c>
      <c r="I68" s="1" t="s">
        <v>1265</v>
      </c>
      <c r="J68" s="1" t="s">
        <v>1320</v>
      </c>
      <c r="K68" s="1" t="s">
        <v>1321</v>
      </c>
      <c r="L68" s="1" t="s">
        <v>1265</v>
      </c>
      <c r="M68" s="1" t="s">
        <v>532</v>
      </c>
      <c r="N68" s="1" t="s">
        <v>156</v>
      </c>
      <c r="O68" s="1" t="s">
        <v>533</v>
      </c>
      <c r="P68" s="1" t="s">
        <v>593</v>
      </c>
      <c r="Q68" s="1" t="s">
        <v>862</v>
      </c>
      <c r="R68" s="1" t="s">
        <v>306</v>
      </c>
      <c r="S68" s="1" t="s">
        <v>863</v>
      </c>
      <c r="T68" s="1" t="s">
        <v>1269</v>
      </c>
      <c r="U68" s="1" t="s">
        <v>1322</v>
      </c>
      <c r="V68" s="1" t="s">
        <v>1271</v>
      </c>
      <c r="W68" s="1" t="s">
        <v>1323</v>
      </c>
      <c r="X68" s="1" t="s">
        <v>1324</v>
      </c>
      <c r="Y68" s="1" t="s">
        <v>1325</v>
      </c>
      <c r="Z68" s="1" t="s">
        <v>601</v>
      </c>
      <c r="AA68" s="1" t="s">
        <v>692</v>
      </c>
      <c r="AB68" s="1" t="s">
        <v>36</v>
      </c>
      <c r="AC68" s="1" t="s">
        <v>1326</v>
      </c>
      <c r="AD68" s="1" t="s">
        <v>906</v>
      </c>
      <c r="AE68" s="22">
        <f>IF(ISNUMBER(SEARCH('Scenario Definitions'!$C$5,N68)),1,0)</f>
        <v>1</v>
      </c>
      <c r="AF68" s="22">
        <f>IFERROR(VLOOKUP(R68,'Assumptions &amp; Inputs'!$A$31:$F$69,3,FALSE),0)</f>
        <v>3</v>
      </c>
      <c r="AG68" s="22">
        <f>IFERROR(VLOOKUP(R68,'Assumptions &amp; Inputs'!$A$31:$F$69,4,FALSE),0)</f>
        <v>5</v>
      </c>
      <c r="AH68" s="23">
        <f>IFERROR(VLOOKUP(R68,'Assumptions &amp; Inputs'!$A$31:$F$69,5,FALSE),0)</f>
        <v>8</v>
      </c>
      <c r="AI68" s="11">
        <v>0</v>
      </c>
      <c r="AJ68" s="11">
        <v>0</v>
      </c>
      <c r="AK68" s="11">
        <v>0</v>
      </c>
      <c r="AL68" s="11">
        <v>24.3</v>
      </c>
      <c r="AM68" s="11">
        <v>32.4</v>
      </c>
      <c r="AN68" s="11">
        <v>48.6</v>
      </c>
      <c r="AO68" s="39">
        <f t="shared" si="18"/>
        <v>72.900000000000006</v>
      </c>
      <c r="AP68" s="22">
        <f t="shared" si="19"/>
        <v>162</v>
      </c>
      <c r="AQ68" s="23">
        <f t="shared" si="20"/>
        <v>388.8</v>
      </c>
      <c r="AR68" s="58" t="s">
        <v>433</v>
      </c>
      <c r="AS68" s="35">
        <f>IFERROR(VLOOKUP(AR68,'Assumptions &amp; Inputs'!$A$73:$I$100,9,FALSE),0)</f>
        <v>95</v>
      </c>
      <c r="AT68" s="30">
        <f t="shared" si="21"/>
        <v>6925.5000000000009</v>
      </c>
      <c r="AU68" s="30">
        <f t="shared" si="22"/>
        <v>15390</v>
      </c>
      <c r="AV68" s="31">
        <f t="shared" si="23"/>
        <v>36936</v>
      </c>
      <c r="AW68" s="57">
        <v>40000</v>
      </c>
      <c r="AX68" s="57">
        <v>75000</v>
      </c>
      <c r="AY68" s="57">
        <v>180000</v>
      </c>
      <c r="AZ68" s="35">
        <f>IFERROR(VLOOKUP(C68,'Assumptions &amp; Inputs'!$A$104:$B$107,2,FALSE),0)</f>
        <v>0.25</v>
      </c>
      <c r="BA68" s="30">
        <f t="shared" si="24"/>
        <v>1731.3750000000002</v>
      </c>
      <c r="BB68" s="30">
        <f t="shared" si="25"/>
        <v>3847.5</v>
      </c>
      <c r="BC68" s="31">
        <f t="shared" si="26"/>
        <v>9234</v>
      </c>
      <c r="BD68" s="57" t="s">
        <v>209</v>
      </c>
      <c r="BE68" s="35">
        <f>IF(BD68="Yes",(AT68+AW68)*VLOOKUP("IN-34",'Assumptions &amp; Inputs'!$A$31:$F$69,3,FALSE),0)</f>
        <v>2346.2750000000001</v>
      </c>
      <c r="BF68" s="30">
        <f>IF(BD68="Yes",(AU68+AX68)*VLOOKUP("IN-34",'Assumptions &amp; Inputs'!$A$31:$F$69,4,FALSE),0)</f>
        <v>6779.25</v>
      </c>
      <c r="BG68" s="30">
        <f>IF(BD68="Yes",(AV68+AY68)*VLOOKUP("IN-34",'Assumptions &amp; Inputs'!$A$31:$F$69,5,FALSE),0)</f>
        <v>32540.399999999998</v>
      </c>
      <c r="BH68" s="30">
        <f t="shared" si="27"/>
        <v>51003.15</v>
      </c>
      <c r="BI68" s="30">
        <f t="shared" si="28"/>
        <v>101016.75</v>
      </c>
      <c r="BJ68" s="31">
        <f t="shared" si="29"/>
        <v>258710.39999999999</v>
      </c>
      <c r="BK68" s="58" t="s">
        <v>548</v>
      </c>
      <c r="BL68" s="58" t="s">
        <v>549</v>
      </c>
      <c r="BM68" s="58" t="s">
        <v>692</v>
      </c>
      <c r="BN68" s="58" t="s">
        <v>550</v>
      </c>
      <c r="BO68" s="5">
        <f t="shared" si="30"/>
        <v>1</v>
      </c>
      <c r="BP68" s="5">
        <f t="shared" si="31"/>
        <v>1</v>
      </c>
      <c r="BQ68" s="5">
        <f t="shared" si="32"/>
        <v>1</v>
      </c>
      <c r="BR68" s="5">
        <f t="shared" si="33"/>
        <v>1</v>
      </c>
      <c r="BS68" s="5">
        <f t="shared" si="34"/>
        <v>1</v>
      </c>
      <c r="BT68" s="5">
        <f t="shared" si="35"/>
        <v>1</v>
      </c>
      <c r="BU68" s="4">
        <f>IF(BO68=1,((AI68+(IF(R68="IN-07",'Assumptions &amp; Inputs'!$C$66,AF68))*AL68)*AS68)+AW68+(((AI68+(IF(R68="IN-07",'Assumptions &amp; Inputs'!$C$66,AF68))*AL68)*AS68)*AZ68)+IF(BD68="Yes",(((AI68+(IF(R68="IN-07",'Assumptions &amp; Inputs'!$C$66,AF68))*AL68)*AS68)+AW68)*VLOOKUP("IN-34",'Assumptions &amp; Inputs'!$A$31:$F$69,3,FALSE),0),0)</f>
        <v>51003.15</v>
      </c>
      <c r="BV68" s="4">
        <f>IF(BO68=1,((AJ68+(IF(R68="IN-07",'Assumptions &amp; Inputs'!$D$66,AG68))*AM68)*AS68)+AX68+(((AJ68+(IF(R68="IN-07",'Assumptions &amp; Inputs'!$D$66,AG68))*AM68)*AS68)*AZ68)+IF(BD68="Yes",(((AJ68+(IF(R68="IN-07",'Assumptions &amp; Inputs'!$D$66,AG68))*AM68)*AS68)+AX68)*VLOOKUP("IN-34",'Assumptions &amp; Inputs'!$A$31:$F$69,4,FALSE),0),0)</f>
        <v>101016.75</v>
      </c>
      <c r="BW68" s="4">
        <f>IF(BO68=1,((AK68+(IF(R68="IN-07",'Assumptions &amp; Inputs'!$E$66,AH68))*AN68)*AS68)+AY68+(((AK68+(IF(R68="IN-07",'Assumptions &amp; Inputs'!$E$66,AH68))*AN68)*AS68)*AZ68)+IF(BD68="Yes",(((AK68+(IF(R68="IN-07",'Assumptions &amp; Inputs'!$E$66,AH68))*AN68)*AS68)+AY68)*VLOOKUP("IN-34",'Assumptions &amp; Inputs'!$A$31:$F$69,5,FALSE),0),0)</f>
        <v>258710.39999999999</v>
      </c>
      <c r="BX68" s="4">
        <f>IF(BP68=1,((AI68+(IF(R68="IN-07",'Assumptions &amp; Inputs'!$C$66,AF68))*AL68)*AS68)+AW68+(((AI68+(IF(R68="IN-07",'Assumptions &amp; Inputs'!$C$66,AF68))*AL68)*AS68)*AZ68)+IF(BD68="Yes",(((AI68+(IF(R68="IN-07",'Assumptions &amp; Inputs'!$C$66,AF68))*AL68)*AS68)+AW68)*VLOOKUP("IN-34",'Assumptions &amp; Inputs'!$A$31:$F$69,3,FALSE),0),0)</f>
        <v>51003.15</v>
      </c>
      <c r="BY68" s="4">
        <f>IF(BP68=1,((AJ68+(IF(R68="IN-07",'Assumptions &amp; Inputs'!$D$66,AG68))*AM68)*AS68)+AX68+(((AJ68+(IF(R68="IN-07",'Assumptions &amp; Inputs'!$D$66,AG68))*AM68)*AS68)*AZ68)+IF(BD68="Yes",(((AJ68+(IF(R68="IN-07",'Assumptions &amp; Inputs'!$D$66,AG68))*AM68)*AS68)+AX68)*VLOOKUP("IN-34",'Assumptions &amp; Inputs'!$A$31:$F$69,4,FALSE),0),0)</f>
        <v>101016.75</v>
      </c>
      <c r="BZ68" s="4">
        <f>IF(BP68=1,((AK68+(IF(R68="IN-07",'Assumptions &amp; Inputs'!$E$66,AH68))*AN68)*AS68)+AY68+(((AK68+(IF(R68="IN-07",'Assumptions &amp; Inputs'!$E$66,AH68))*AN68)*AS68)*AZ68)+IF(BD68="Yes",(((AK68+(IF(R68="IN-07",'Assumptions &amp; Inputs'!$E$66,AH68))*AN68)*AS68)+AY68)*VLOOKUP("IN-34",'Assumptions &amp; Inputs'!$A$31:$F$69,5,FALSE),0),0)</f>
        <v>258710.39999999999</v>
      </c>
      <c r="CA68" s="4">
        <f>IF(BQ68=1,((AI68+(IF(R68="IN-07",'Assumptions &amp; Inputs'!$C$65,AF68))*AL68)*AS68)+AW68+(((AI68+(IF(R68="IN-07",'Assumptions &amp; Inputs'!$C$65,AF68))*AL68)*AS68)*AZ68)+IF(BD68="Yes",(((AI68+(IF(R68="IN-07",'Assumptions &amp; Inputs'!$C$65,AF68))*AL68)*AS68)+AW68)*VLOOKUP("IN-34",'Assumptions &amp; Inputs'!$A$31:$F$69,3,FALSE),0),0)</f>
        <v>51003.15</v>
      </c>
      <c r="CB68" s="4">
        <f>IF(BQ68=1,((AJ68+(IF(R68="IN-07",'Assumptions &amp; Inputs'!$D$65,AG68))*AM68)*AS68)+AX68+(((AJ68+(IF(R68="IN-07",'Assumptions &amp; Inputs'!$D$65,AG68))*AM68)*AS68)*AZ68)+IF(BD68="Yes",(((AJ68+(IF(R68="IN-07",'Assumptions &amp; Inputs'!$D$65,AG68))*AM68)*AS68)+AX68)*VLOOKUP("IN-34",'Assumptions &amp; Inputs'!$A$31:$F$69,4,FALSE),0),0)</f>
        <v>101016.75</v>
      </c>
      <c r="CC68" s="4">
        <f>IF(BQ68=1,((AK68+(IF(R68="IN-07",'Assumptions &amp; Inputs'!$E$65,AH68))*AN68)*AS68)+AY68+(((AK68+(IF(R68="IN-07",'Assumptions &amp; Inputs'!$E$65,AH68))*AN68)*AS68)*AZ68)+IF(BD68="Yes",(((AK68+(IF(R68="IN-07",'Assumptions &amp; Inputs'!$E$65,AH68))*AN68)*AS68)+AY68)*VLOOKUP("IN-34",'Assumptions &amp; Inputs'!$A$31:$F$69,5,FALSE),0),0)</f>
        <v>258710.39999999999</v>
      </c>
      <c r="CD68" s="4">
        <f>IF(BR68=1,((AI68+(IF(R68="IN-07",'Assumptions &amp; Inputs'!$C$65,AF68))*AL68)*AS68)+AW68+(((AI68+(IF(R68="IN-07",'Assumptions &amp; Inputs'!$C$65,AF68))*AL68)*AS68)*AZ68)+IF(BD68="Yes",(((AI68+(IF(R68="IN-07",'Assumptions &amp; Inputs'!$C$65,AF68))*AL68)*AS68)+AW68)*VLOOKUP("IN-34",'Assumptions &amp; Inputs'!$A$31:$F$69,3,FALSE),0),0)</f>
        <v>51003.15</v>
      </c>
      <c r="CE68" s="4">
        <f>IF(BR68=1,((AJ68+(IF(R68="IN-07",'Assumptions &amp; Inputs'!$D$65,AG68))*AM68)*AS68)+AX68+(((AJ68+(IF(R68="IN-07",'Assumptions &amp; Inputs'!$D$65,AG68))*AM68)*AS68)*AZ68)+IF(BD68="Yes",(((AJ68+(IF(R68="IN-07",'Assumptions &amp; Inputs'!$D$65,AG68))*AM68)*AS68)+AX68)*VLOOKUP("IN-34",'Assumptions &amp; Inputs'!$A$31:$F$69,4,FALSE),0),0)</f>
        <v>101016.75</v>
      </c>
      <c r="CF68" s="4">
        <f>IF(BR68=1,((AK68+(IF(R68="IN-07",'Assumptions &amp; Inputs'!$E$65,AH68))*AN68)*AS68)+AY68+(((AK68+(IF(R68="IN-07",'Assumptions &amp; Inputs'!$E$65,AH68))*AN68)*AS68)*AZ68)+IF(BD68="Yes",(((AK68+(IF(R68="IN-07",'Assumptions &amp; Inputs'!$E$65,AH68))*AN68)*AS68)+AY68)*VLOOKUP("IN-34",'Assumptions &amp; Inputs'!$A$31:$F$69,5,FALSE),0),0)</f>
        <v>258710.39999999999</v>
      </c>
      <c r="CG68" s="4">
        <f>IF(BS68=1,((AI68+(IF(R68="IN-07",0,AF68))*AL68)*AS68)+AW68+(((AI68+(IF(R68="IN-07",0,AF68))*AL68)*AS68)*AZ68)+IF(BD68="Yes",(((AI68+(IF(R68="IN-07",0,AF68))*AL68)*AS68)+AW68)*VLOOKUP("IN-34",'Assumptions &amp; Inputs'!$A$31:$F$69,3,FALSE),0),0)</f>
        <v>51003.15</v>
      </c>
      <c r="CH68" s="4">
        <f>IF(BS68=1,((AJ68+(IF(R68="IN-07",0,AG68))*AM68)*AS68)+AX68+(((AJ68+(IF(R68="IN-07",0,AG68))*AM68)*AS68)*AZ68)+IF(BD68="Yes",(((AJ68+(IF(R68="IN-07",0,AG68))*AM68)*AS68)+AX68)*VLOOKUP("IN-34",'Assumptions &amp; Inputs'!$A$31:$F$69,4,FALSE),0),0)</f>
        <v>101016.75</v>
      </c>
      <c r="CI68" s="4">
        <f>IF(BS68=1,((AK68+(IF(R68="IN-07",0,AH68))*AN68)*AS68)+AY68+(((AK68+(IF(R68="IN-07",0,AH68))*AN68)*AS68)*AZ68)+IF(BD68="Yes",(((AK68+(IF(R68="IN-07",0,AH68))*AN68)*AS68)+AY68)*VLOOKUP("IN-34",'Assumptions &amp; Inputs'!$A$31:$F$69,5,FALSE),0),0)</f>
        <v>258710.39999999999</v>
      </c>
      <c r="CJ68" s="4">
        <f>IF(BT68=1,((AI68+(IF(R68="IN-07",0,AF68))*AL68)*AS68)+AW68+(((AI68+(IF(R68="IN-07",0,AF68))*AL68)*AS68)*AZ68)+IF(BD68="Yes",(((AI68+(IF(R68="IN-07",0,AF68))*AL68)*AS68)+AW68)*VLOOKUP("IN-34",'Assumptions &amp; Inputs'!$A$31:$F$69,3,FALSE),0),0)</f>
        <v>51003.15</v>
      </c>
      <c r="CK68" s="4">
        <f>IF(BT68=1,((AJ68+(IF(R68="IN-07",0,AG68))*AM68)*AS68)+AX68+(((AJ68+(IF(R68="IN-07",0,AG68))*AM68)*AS68)*AZ68)+IF(BD68="Yes",(((AJ68+(IF(R68="IN-07",0,AG68))*AM68)*AS68)+AX68)*VLOOKUP("IN-34",'Assumptions &amp; Inputs'!$A$31:$F$69,4,FALSE),0),0)</f>
        <v>101016.75</v>
      </c>
      <c r="CL68" s="4">
        <f>IF(BT68=1,((AK68+(IF(R68="IN-07",0,AH68))*AN68)*AS68)+AY68+(((AK68+(IF(R68="IN-07",0,AH68))*AN68)*AS68)*AZ68)+IF(BD68="Yes",(((AK68+(IF(R68="IN-07",0,AH68))*AN68)*AS68)+AY68)*VLOOKUP("IN-34",'Assumptions &amp; Inputs'!$A$31:$F$69,5,FALSE),0),0)</f>
        <v>258710.39999999999</v>
      </c>
    </row>
    <row r="69" spans="1:90" ht="43.5" x14ac:dyDescent="0.35">
      <c r="A69" s="1" t="s">
        <v>1327</v>
      </c>
      <c r="B69" s="1" t="s">
        <v>203</v>
      </c>
      <c r="C69" s="1" t="s">
        <v>50</v>
      </c>
      <c r="D69" s="1" t="s">
        <v>55</v>
      </c>
      <c r="E69" s="1" t="s">
        <v>1328</v>
      </c>
      <c r="F69" s="1" t="s">
        <v>1329</v>
      </c>
      <c r="G69" s="1" t="s">
        <v>1330</v>
      </c>
      <c r="H69" s="1" t="s">
        <v>1331</v>
      </c>
      <c r="I69" s="1" t="s">
        <v>1265</v>
      </c>
      <c r="J69" s="1" t="s">
        <v>1332</v>
      </c>
      <c r="K69" s="1" t="s">
        <v>1333</v>
      </c>
      <c r="L69" s="1" t="s">
        <v>1265</v>
      </c>
      <c r="M69" s="1" t="s">
        <v>532</v>
      </c>
      <c r="N69" s="1" t="s">
        <v>156</v>
      </c>
      <c r="O69" s="1" t="s">
        <v>533</v>
      </c>
      <c r="P69" s="1" t="s">
        <v>593</v>
      </c>
      <c r="Q69" s="1" t="s">
        <v>1268</v>
      </c>
      <c r="R69" s="1" t="s">
        <v>303</v>
      </c>
      <c r="S69" s="1" t="s">
        <v>1028</v>
      </c>
      <c r="T69" s="1" t="s">
        <v>1334</v>
      </c>
      <c r="U69" s="1" t="s">
        <v>1335</v>
      </c>
      <c r="V69" s="1" t="s">
        <v>1271</v>
      </c>
      <c r="W69" s="1" t="s">
        <v>1336</v>
      </c>
      <c r="X69" s="1" t="s">
        <v>1337</v>
      </c>
      <c r="Y69" s="1" t="s">
        <v>171</v>
      </c>
      <c r="Z69" s="1" t="s">
        <v>543</v>
      </c>
      <c r="AA69" s="1" t="s">
        <v>1274</v>
      </c>
      <c r="AB69" s="1" t="s">
        <v>36</v>
      </c>
      <c r="AC69" s="1" t="s">
        <v>1338</v>
      </c>
      <c r="AD69" s="1" t="s">
        <v>919</v>
      </c>
      <c r="AE69" s="22">
        <f>IF(ISNUMBER(SEARCH('Scenario Definitions'!$C$5,N69)),1,0)</f>
        <v>1</v>
      </c>
      <c r="AF69" s="22">
        <f>IFERROR(VLOOKUP(R69,'Assumptions &amp; Inputs'!$A$31:$F$69,3,FALSE),0)</f>
        <v>6</v>
      </c>
      <c r="AG69" s="22">
        <f>IFERROR(VLOOKUP(R69,'Assumptions &amp; Inputs'!$A$31:$F$69,4,FALSE),0)</f>
        <v>12</v>
      </c>
      <c r="AH69" s="23">
        <f>IFERROR(VLOOKUP(R69,'Assumptions &amp; Inputs'!$A$31:$F$69,5,FALSE),0)</f>
        <v>25</v>
      </c>
      <c r="AI69" s="11">
        <v>0</v>
      </c>
      <c r="AJ69" s="11">
        <v>0</v>
      </c>
      <c r="AK69" s="11">
        <v>0</v>
      </c>
      <c r="AL69" s="11">
        <v>12.1</v>
      </c>
      <c r="AM69" s="11">
        <v>16.2</v>
      </c>
      <c r="AN69" s="11">
        <v>24.3</v>
      </c>
      <c r="AO69" s="39">
        <f t="shared" ref="AO69:AO77" si="36">AI69+(AF69*AL69)</f>
        <v>72.599999999999994</v>
      </c>
      <c r="AP69" s="22">
        <f t="shared" ref="AP69:AP77" si="37">AJ69+(AG69*AM69)</f>
        <v>194.39999999999998</v>
      </c>
      <c r="AQ69" s="23">
        <f t="shared" ref="AQ69:AQ77" si="38">AK69+(AH69*AN69)</f>
        <v>607.5</v>
      </c>
      <c r="AR69" s="58" t="s">
        <v>433</v>
      </c>
      <c r="AS69" s="35">
        <f>IFERROR(VLOOKUP(AR69,'Assumptions &amp; Inputs'!$A$73:$I$100,9,FALSE),0)</f>
        <v>95</v>
      </c>
      <c r="AT69" s="30">
        <f t="shared" ref="AT69:AT77" si="39">AO69*AS69</f>
        <v>6896.9999999999991</v>
      </c>
      <c r="AU69" s="30">
        <f t="shared" ref="AU69:AU77" si="40">AP69*AS69</f>
        <v>18467.999999999996</v>
      </c>
      <c r="AV69" s="31">
        <f t="shared" ref="AV69:AV77" si="41">AQ69*AS69</f>
        <v>57712.5</v>
      </c>
      <c r="AW69" s="57">
        <v>0</v>
      </c>
      <c r="AX69" s="57">
        <v>0</v>
      </c>
      <c r="AY69" s="57">
        <v>0</v>
      </c>
      <c r="AZ69" s="35">
        <f>IFERROR(VLOOKUP(C69,'Assumptions &amp; Inputs'!$A$104:$B$107,2,FALSE),0)</f>
        <v>0.25</v>
      </c>
      <c r="BA69" s="30">
        <f t="shared" ref="BA69:BA77" si="42">AT69*AZ69</f>
        <v>1724.2499999999998</v>
      </c>
      <c r="BB69" s="30">
        <f t="shared" ref="BB69:BB77" si="43">AU69*AZ69</f>
        <v>4616.9999999999991</v>
      </c>
      <c r="BC69" s="31">
        <f t="shared" ref="BC69:BC77" si="44">AV69*AZ69</f>
        <v>14428.125</v>
      </c>
      <c r="BD69" s="57" t="s">
        <v>209</v>
      </c>
      <c r="BE69" s="35">
        <f>IF(BD69="Yes",(AT69+AW69)*VLOOKUP("IN-34",'Assumptions &amp; Inputs'!$A$31:$F$69,3,FALSE),0)</f>
        <v>344.84999999999997</v>
      </c>
      <c r="BF69" s="30">
        <f>IF(BD69="Yes",(AU69+AX69)*VLOOKUP("IN-34",'Assumptions &amp; Inputs'!$A$31:$F$69,4,FALSE),0)</f>
        <v>1385.0999999999997</v>
      </c>
      <c r="BG69" s="30">
        <f>IF(BD69="Yes",(AV69+AY69)*VLOOKUP("IN-34",'Assumptions &amp; Inputs'!$A$31:$F$69,5,FALSE),0)</f>
        <v>8656.875</v>
      </c>
      <c r="BH69" s="30">
        <f t="shared" ref="BH69:BH77" si="45">AT69+AW69+BA69+BE69</f>
        <v>8966.0999999999985</v>
      </c>
      <c r="BI69" s="30">
        <f t="shared" ref="BI69:BI77" si="46">AU69+AX69+BB69+BF69</f>
        <v>24470.099999999995</v>
      </c>
      <c r="BJ69" s="31">
        <f t="shared" ref="BJ69:BJ77" si="47">AV69+AY69+BC69+BG69</f>
        <v>80797.5</v>
      </c>
      <c r="BK69" s="58" t="s">
        <v>548</v>
      </c>
      <c r="BL69" s="58" t="s">
        <v>549</v>
      </c>
      <c r="BM69" s="58" t="s">
        <v>1274</v>
      </c>
      <c r="BN69" s="58" t="s">
        <v>550</v>
      </c>
      <c r="BO69" s="5">
        <f t="shared" ref="BO69:BO77" si="48">IF(ISNUMBER(SEARCH("1A",N69)),1,0)</f>
        <v>1</v>
      </c>
      <c r="BP69" s="5">
        <f t="shared" ref="BP69:BP77" si="49">IF(ISNUMBER(SEARCH("1B",N69)),1,0)</f>
        <v>1</v>
      </c>
      <c r="BQ69" s="5">
        <f t="shared" ref="BQ69:BQ77" si="50">IF(ISNUMBER(SEARCH("2A",N69)),1,0)</f>
        <v>1</v>
      </c>
      <c r="BR69" s="5">
        <f t="shared" ref="BR69:BR77" si="51">IF(ISNUMBER(SEARCH("2B",N69)),1,0)</f>
        <v>1</v>
      </c>
      <c r="BS69" s="5">
        <f t="shared" ref="BS69:BS77" si="52">IF(ISNUMBER(SEARCH("3A",N69)),1,0)</f>
        <v>1</v>
      </c>
      <c r="BT69" s="5">
        <f t="shared" ref="BT69:BT77" si="53">IF(ISNUMBER(SEARCH("3B",N69)),1,0)</f>
        <v>1</v>
      </c>
      <c r="BU69" s="4">
        <f>IF(BO69=1,((AI69+(IF(R69="IN-07",'Assumptions &amp; Inputs'!$C$66,AF69))*AL69)*AS69)+AW69+(((AI69+(IF(R69="IN-07",'Assumptions &amp; Inputs'!$C$66,AF69))*AL69)*AS69)*AZ69)+IF(BD69="Yes",(((AI69+(IF(R69="IN-07",'Assumptions &amp; Inputs'!$C$66,AF69))*AL69)*AS69)+AW69)*VLOOKUP("IN-34",'Assumptions &amp; Inputs'!$A$31:$F$69,3,FALSE),0),0)</f>
        <v>8966.0999999999985</v>
      </c>
      <c r="BV69" s="4">
        <f>IF(BO69=1,((AJ69+(IF(R69="IN-07",'Assumptions &amp; Inputs'!$D$66,AG69))*AM69)*AS69)+AX69+(((AJ69+(IF(R69="IN-07",'Assumptions &amp; Inputs'!$D$66,AG69))*AM69)*AS69)*AZ69)+IF(BD69="Yes",(((AJ69+(IF(R69="IN-07",'Assumptions &amp; Inputs'!$D$66,AG69))*AM69)*AS69)+AX69)*VLOOKUP("IN-34",'Assumptions &amp; Inputs'!$A$31:$F$69,4,FALSE),0),0)</f>
        <v>24470.099999999995</v>
      </c>
      <c r="BW69" s="4">
        <f>IF(BO69=1,((AK69+(IF(R69="IN-07",'Assumptions &amp; Inputs'!$E$66,AH69))*AN69)*AS69)+AY69+(((AK69+(IF(R69="IN-07",'Assumptions &amp; Inputs'!$E$66,AH69))*AN69)*AS69)*AZ69)+IF(BD69="Yes",(((AK69+(IF(R69="IN-07",'Assumptions &amp; Inputs'!$E$66,AH69))*AN69)*AS69)+AY69)*VLOOKUP("IN-34",'Assumptions &amp; Inputs'!$A$31:$F$69,5,FALSE),0),0)</f>
        <v>80797.5</v>
      </c>
      <c r="BX69" s="4">
        <f>IF(BP69=1,((AI69+(IF(R69="IN-07",'Assumptions &amp; Inputs'!$C$66,AF69))*AL69)*AS69)+AW69+(((AI69+(IF(R69="IN-07",'Assumptions &amp; Inputs'!$C$66,AF69))*AL69)*AS69)*AZ69)+IF(BD69="Yes",(((AI69+(IF(R69="IN-07",'Assumptions &amp; Inputs'!$C$66,AF69))*AL69)*AS69)+AW69)*VLOOKUP("IN-34",'Assumptions &amp; Inputs'!$A$31:$F$69,3,FALSE),0),0)</f>
        <v>8966.0999999999985</v>
      </c>
      <c r="BY69" s="4">
        <f>IF(BP69=1,((AJ69+(IF(R69="IN-07",'Assumptions &amp; Inputs'!$D$66,AG69))*AM69)*AS69)+AX69+(((AJ69+(IF(R69="IN-07",'Assumptions &amp; Inputs'!$D$66,AG69))*AM69)*AS69)*AZ69)+IF(BD69="Yes",(((AJ69+(IF(R69="IN-07",'Assumptions &amp; Inputs'!$D$66,AG69))*AM69)*AS69)+AX69)*VLOOKUP("IN-34",'Assumptions &amp; Inputs'!$A$31:$F$69,4,FALSE),0),0)</f>
        <v>24470.099999999995</v>
      </c>
      <c r="BZ69" s="4">
        <f>IF(BP69=1,((AK69+(IF(R69="IN-07",'Assumptions &amp; Inputs'!$E$66,AH69))*AN69)*AS69)+AY69+(((AK69+(IF(R69="IN-07",'Assumptions &amp; Inputs'!$E$66,AH69))*AN69)*AS69)*AZ69)+IF(BD69="Yes",(((AK69+(IF(R69="IN-07",'Assumptions &amp; Inputs'!$E$66,AH69))*AN69)*AS69)+AY69)*VLOOKUP("IN-34",'Assumptions &amp; Inputs'!$A$31:$F$69,5,FALSE),0),0)</f>
        <v>80797.5</v>
      </c>
      <c r="CA69" s="4">
        <f>IF(BQ69=1,((AI69+(IF(R69="IN-07",'Assumptions &amp; Inputs'!$C$65,AF69))*AL69)*AS69)+AW69+(((AI69+(IF(R69="IN-07",'Assumptions &amp; Inputs'!$C$65,AF69))*AL69)*AS69)*AZ69)+IF(BD69="Yes",(((AI69+(IF(R69="IN-07",'Assumptions &amp; Inputs'!$C$65,AF69))*AL69)*AS69)+AW69)*VLOOKUP("IN-34",'Assumptions &amp; Inputs'!$A$31:$F$69,3,FALSE),0),0)</f>
        <v>8966.0999999999985</v>
      </c>
      <c r="CB69" s="4">
        <f>IF(BQ69=1,((AJ69+(IF(R69="IN-07",'Assumptions &amp; Inputs'!$D$65,AG69))*AM69)*AS69)+AX69+(((AJ69+(IF(R69="IN-07",'Assumptions &amp; Inputs'!$D$65,AG69))*AM69)*AS69)*AZ69)+IF(BD69="Yes",(((AJ69+(IF(R69="IN-07",'Assumptions &amp; Inputs'!$D$65,AG69))*AM69)*AS69)+AX69)*VLOOKUP("IN-34",'Assumptions &amp; Inputs'!$A$31:$F$69,4,FALSE),0),0)</f>
        <v>24470.099999999995</v>
      </c>
      <c r="CC69" s="4">
        <f>IF(BQ69=1,((AK69+(IF(R69="IN-07",'Assumptions &amp; Inputs'!$E$65,AH69))*AN69)*AS69)+AY69+(((AK69+(IF(R69="IN-07",'Assumptions &amp; Inputs'!$E$65,AH69))*AN69)*AS69)*AZ69)+IF(BD69="Yes",(((AK69+(IF(R69="IN-07",'Assumptions &amp; Inputs'!$E$65,AH69))*AN69)*AS69)+AY69)*VLOOKUP("IN-34",'Assumptions &amp; Inputs'!$A$31:$F$69,5,FALSE),0),0)</f>
        <v>80797.5</v>
      </c>
      <c r="CD69" s="4">
        <f>IF(BR69=1,((AI69+(IF(R69="IN-07",'Assumptions &amp; Inputs'!$C$65,AF69))*AL69)*AS69)+AW69+(((AI69+(IF(R69="IN-07",'Assumptions &amp; Inputs'!$C$65,AF69))*AL69)*AS69)*AZ69)+IF(BD69="Yes",(((AI69+(IF(R69="IN-07",'Assumptions &amp; Inputs'!$C$65,AF69))*AL69)*AS69)+AW69)*VLOOKUP("IN-34",'Assumptions &amp; Inputs'!$A$31:$F$69,3,FALSE),0),0)</f>
        <v>8966.0999999999985</v>
      </c>
      <c r="CE69" s="4">
        <f>IF(BR69=1,((AJ69+(IF(R69="IN-07",'Assumptions &amp; Inputs'!$D$65,AG69))*AM69)*AS69)+AX69+(((AJ69+(IF(R69="IN-07",'Assumptions &amp; Inputs'!$D$65,AG69))*AM69)*AS69)*AZ69)+IF(BD69="Yes",(((AJ69+(IF(R69="IN-07",'Assumptions &amp; Inputs'!$D$65,AG69))*AM69)*AS69)+AX69)*VLOOKUP("IN-34",'Assumptions &amp; Inputs'!$A$31:$F$69,4,FALSE),0),0)</f>
        <v>24470.099999999995</v>
      </c>
      <c r="CF69" s="4">
        <f>IF(BR69=1,((AK69+(IF(R69="IN-07",'Assumptions &amp; Inputs'!$E$65,AH69))*AN69)*AS69)+AY69+(((AK69+(IF(R69="IN-07",'Assumptions &amp; Inputs'!$E$65,AH69))*AN69)*AS69)*AZ69)+IF(BD69="Yes",(((AK69+(IF(R69="IN-07",'Assumptions &amp; Inputs'!$E$65,AH69))*AN69)*AS69)+AY69)*VLOOKUP("IN-34",'Assumptions &amp; Inputs'!$A$31:$F$69,5,FALSE),0),0)</f>
        <v>80797.5</v>
      </c>
      <c r="CG69" s="4">
        <f>IF(BS69=1,((AI69+(IF(R69="IN-07",0,AF69))*AL69)*AS69)+AW69+(((AI69+(IF(R69="IN-07",0,AF69))*AL69)*AS69)*AZ69)+IF(BD69="Yes",(((AI69+(IF(R69="IN-07",0,AF69))*AL69)*AS69)+AW69)*VLOOKUP("IN-34",'Assumptions &amp; Inputs'!$A$31:$F$69,3,FALSE),0),0)</f>
        <v>8966.0999999999985</v>
      </c>
      <c r="CH69" s="4">
        <f>IF(BS69=1,((AJ69+(IF(R69="IN-07",0,AG69))*AM69)*AS69)+AX69+(((AJ69+(IF(R69="IN-07",0,AG69))*AM69)*AS69)*AZ69)+IF(BD69="Yes",(((AJ69+(IF(R69="IN-07",0,AG69))*AM69)*AS69)+AX69)*VLOOKUP("IN-34",'Assumptions &amp; Inputs'!$A$31:$F$69,4,FALSE),0),0)</f>
        <v>24470.099999999995</v>
      </c>
      <c r="CI69" s="4">
        <f>IF(BS69=1,((AK69+(IF(R69="IN-07",0,AH69))*AN69)*AS69)+AY69+(((AK69+(IF(R69="IN-07",0,AH69))*AN69)*AS69)*AZ69)+IF(BD69="Yes",(((AK69+(IF(R69="IN-07",0,AH69))*AN69)*AS69)+AY69)*VLOOKUP("IN-34",'Assumptions &amp; Inputs'!$A$31:$F$69,5,FALSE),0),0)</f>
        <v>80797.5</v>
      </c>
      <c r="CJ69" s="4">
        <f>IF(BT69=1,((AI69+(IF(R69="IN-07",0,AF69))*AL69)*AS69)+AW69+(((AI69+(IF(R69="IN-07",0,AF69))*AL69)*AS69)*AZ69)+IF(BD69="Yes",(((AI69+(IF(R69="IN-07",0,AF69))*AL69)*AS69)+AW69)*VLOOKUP("IN-34",'Assumptions &amp; Inputs'!$A$31:$F$69,3,FALSE),0),0)</f>
        <v>8966.0999999999985</v>
      </c>
      <c r="CK69" s="4">
        <f>IF(BT69=1,((AJ69+(IF(R69="IN-07",0,AG69))*AM69)*AS69)+AX69+(((AJ69+(IF(R69="IN-07",0,AG69))*AM69)*AS69)*AZ69)+IF(BD69="Yes",(((AJ69+(IF(R69="IN-07",0,AG69))*AM69)*AS69)+AX69)*VLOOKUP("IN-34",'Assumptions &amp; Inputs'!$A$31:$F$69,4,FALSE),0),0)</f>
        <v>24470.099999999995</v>
      </c>
      <c r="CL69" s="4">
        <f>IF(BT69=1,((AK69+(IF(R69="IN-07",0,AH69))*AN69)*AS69)+AY69+(((AK69+(IF(R69="IN-07",0,AH69))*AN69)*AS69)*AZ69)+IF(BD69="Yes",(((AK69+(IF(R69="IN-07",0,AH69))*AN69)*AS69)+AY69)*VLOOKUP("IN-34",'Assumptions &amp; Inputs'!$A$31:$F$69,5,FALSE),0),0)</f>
        <v>80797.5</v>
      </c>
    </row>
    <row r="70" spans="1:90" ht="43.5" x14ac:dyDescent="0.35">
      <c r="A70" s="1" t="s">
        <v>1339</v>
      </c>
      <c r="B70" s="1" t="s">
        <v>204</v>
      </c>
      <c r="C70" s="1" t="s">
        <v>50</v>
      </c>
      <c r="D70" s="1" t="s">
        <v>56</v>
      </c>
      <c r="E70" s="1" t="s">
        <v>1340</v>
      </c>
      <c r="F70" s="1" t="s">
        <v>1341</v>
      </c>
      <c r="G70" s="1" t="s">
        <v>1342</v>
      </c>
      <c r="H70" s="1" t="s">
        <v>1343</v>
      </c>
      <c r="I70" s="1" t="s">
        <v>1265</v>
      </c>
      <c r="J70" s="1" t="s">
        <v>1344</v>
      </c>
      <c r="K70" s="1" t="s">
        <v>1292</v>
      </c>
      <c r="L70" s="1" t="s">
        <v>1265</v>
      </c>
      <c r="M70" s="1" t="s">
        <v>532</v>
      </c>
      <c r="N70" s="1" t="s">
        <v>156</v>
      </c>
      <c r="O70" s="1" t="s">
        <v>533</v>
      </c>
      <c r="P70" s="1" t="s">
        <v>593</v>
      </c>
      <c r="Q70" s="1" t="s">
        <v>1268</v>
      </c>
      <c r="R70" s="1" t="s">
        <v>303</v>
      </c>
      <c r="S70" s="1" t="s">
        <v>1028</v>
      </c>
      <c r="T70" s="1" t="s">
        <v>1183</v>
      </c>
      <c r="U70" s="1" t="s">
        <v>1345</v>
      </c>
      <c r="V70" s="1" t="s">
        <v>1271</v>
      </c>
      <c r="W70" s="1" t="s">
        <v>984</v>
      </c>
      <c r="X70" s="1" t="s">
        <v>1346</v>
      </c>
      <c r="Y70" s="1" t="s">
        <v>1347</v>
      </c>
      <c r="Z70" s="1" t="s">
        <v>543</v>
      </c>
      <c r="AA70" s="1" t="s">
        <v>1274</v>
      </c>
      <c r="AB70" s="1" t="s">
        <v>36</v>
      </c>
      <c r="AC70" s="1" t="s">
        <v>721</v>
      </c>
      <c r="AD70" s="1" t="s">
        <v>722</v>
      </c>
      <c r="AE70" s="22">
        <f>IF(ISNUMBER(SEARCH('Scenario Definitions'!$C$5,N70)),1,0)</f>
        <v>1</v>
      </c>
      <c r="AF70" s="22">
        <f>IFERROR(VLOOKUP(R70,'Assumptions &amp; Inputs'!$A$31:$F$69,3,FALSE),0)</f>
        <v>6</v>
      </c>
      <c r="AG70" s="22">
        <f>IFERROR(VLOOKUP(R70,'Assumptions &amp; Inputs'!$A$31:$F$69,4,FALSE),0)</f>
        <v>12</v>
      </c>
      <c r="AH70" s="23">
        <f>IFERROR(VLOOKUP(R70,'Assumptions &amp; Inputs'!$A$31:$F$69,5,FALSE),0)</f>
        <v>25</v>
      </c>
      <c r="AI70" s="11">
        <v>0</v>
      </c>
      <c r="AJ70" s="11">
        <v>0</v>
      </c>
      <c r="AK70" s="11">
        <v>0</v>
      </c>
      <c r="AL70" s="11">
        <v>12.1</v>
      </c>
      <c r="AM70" s="11">
        <v>16.2</v>
      </c>
      <c r="AN70" s="11">
        <v>24.3</v>
      </c>
      <c r="AO70" s="39">
        <f t="shared" si="36"/>
        <v>72.599999999999994</v>
      </c>
      <c r="AP70" s="22">
        <f t="shared" si="37"/>
        <v>194.39999999999998</v>
      </c>
      <c r="AQ70" s="23">
        <f t="shared" si="38"/>
        <v>607.5</v>
      </c>
      <c r="AR70" s="58" t="s">
        <v>433</v>
      </c>
      <c r="AS70" s="35">
        <f>IFERROR(VLOOKUP(AR70,'Assumptions &amp; Inputs'!$A$73:$I$100,9,FALSE),0)</f>
        <v>95</v>
      </c>
      <c r="AT70" s="30">
        <f t="shared" si="39"/>
        <v>6896.9999999999991</v>
      </c>
      <c r="AU70" s="30">
        <f t="shared" si="40"/>
        <v>18467.999999999996</v>
      </c>
      <c r="AV70" s="31">
        <f t="shared" si="41"/>
        <v>57712.5</v>
      </c>
      <c r="AW70" s="57">
        <v>5000</v>
      </c>
      <c r="AX70" s="57">
        <v>15000</v>
      </c>
      <c r="AY70" s="57">
        <v>40000</v>
      </c>
      <c r="AZ70" s="35">
        <f>IFERROR(VLOOKUP(C70,'Assumptions &amp; Inputs'!$A$104:$B$107,2,FALSE),0)</f>
        <v>0.25</v>
      </c>
      <c r="BA70" s="30">
        <f t="shared" si="42"/>
        <v>1724.2499999999998</v>
      </c>
      <c r="BB70" s="30">
        <f t="shared" si="43"/>
        <v>4616.9999999999991</v>
      </c>
      <c r="BC70" s="31">
        <f t="shared" si="44"/>
        <v>14428.125</v>
      </c>
      <c r="BD70" s="57" t="s">
        <v>209</v>
      </c>
      <c r="BE70" s="35">
        <f>IF(BD70="Yes",(AT70+AW70)*VLOOKUP("IN-34",'Assumptions &amp; Inputs'!$A$31:$F$69,3,FALSE),0)</f>
        <v>594.85</v>
      </c>
      <c r="BF70" s="30">
        <f>IF(BD70="Yes",(AU70+AX70)*VLOOKUP("IN-34",'Assumptions &amp; Inputs'!$A$31:$F$69,4,FALSE),0)</f>
        <v>2510.1</v>
      </c>
      <c r="BG70" s="30">
        <f>IF(BD70="Yes",(AV70+AY70)*VLOOKUP("IN-34",'Assumptions &amp; Inputs'!$A$31:$F$69,5,FALSE),0)</f>
        <v>14656.875</v>
      </c>
      <c r="BH70" s="30">
        <f t="shared" si="45"/>
        <v>14216.1</v>
      </c>
      <c r="BI70" s="30">
        <f t="shared" si="46"/>
        <v>40595.1</v>
      </c>
      <c r="BJ70" s="31">
        <f t="shared" si="47"/>
        <v>126797.5</v>
      </c>
      <c r="BK70" s="58" t="s">
        <v>548</v>
      </c>
      <c r="BL70" s="58" t="s">
        <v>549</v>
      </c>
      <c r="BM70" s="58" t="s">
        <v>1274</v>
      </c>
      <c r="BN70" s="58" t="s">
        <v>550</v>
      </c>
      <c r="BO70" s="5">
        <f t="shared" si="48"/>
        <v>1</v>
      </c>
      <c r="BP70" s="5">
        <f t="shared" si="49"/>
        <v>1</v>
      </c>
      <c r="BQ70" s="5">
        <f t="shared" si="50"/>
        <v>1</v>
      </c>
      <c r="BR70" s="5">
        <f t="shared" si="51"/>
        <v>1</v>
      </c>
      <c r="BS70" s="5">
        <f t="shared" si="52"/>
        <v>1</v>
      </c>
      <c r="BT70" s="5">
        <f t="shared" si="53"/>
        <v>1</v>
      </c>
      <c r="BU70" s="4">
        <f>IF(BO70=1,((AI70+(IF(R70="IN-07",'Assumptions &amp; Inputs'!$C$66,AF70))*AL70)*AS70)+AW70+(((AI70+(IF(R70="IN-07",'Assumptions &amp; Inputs'!$C$66,AF70))*AL70)*AS70)*AZ70)+IF(BD70="Yes",(((AI70+(IF(R70="IN-07",'Assumptions &amp; Inputs'!$C$66,AF70))*AL70)*AS70)+AW70)*VLOOKUP("IN-34",'Assumptions &amp; Inputs'!$A$31:$F$69,3,FALSE),0),0)</f>
        <v>14216.1</v>
      </c>
      <c r="BV70" s="4">
        <f>IF(BO70=1,((AJ70+(IF(R70="IN-07",'Assumptions &amp; Inputs'!$D$66,AG70))*AM70)*AS70)+AX70+(((AJ70+(IF(R70="IN-07",'Assumptions &amp; Inputs'!$D$66,AG70))*AM70)*AS70)*AZ70)+IF(BD70="Yes",(((AJ70+(IF(R70="IN-07",'Assumptions &amp; Inputs'!$D$66,AG70))*AM70)*AS70)+AX70)*VLOOKUP("IN-34",'Assumptions &amp; Inputs'!$A$31:$F$69,4,FALSE),0),0)</f>
        <v>40595.1</v>
      </c>
      <c r="BW70" s="4">
        <f>IF(BO70=1,((AK70+(IF(R70="IN-07",'Assumptions &amp; Inputs'!$E$66,AH70))*AN70)*AS70)+AY70+(((AK70+(IF(R70="IN-07",'Assumptions &amp; Inputs'!$E$66,AH70))*AN70)*AS70)*AZ70)+IF(BD70="Yes",(((AK70+(IF(R70="IN-07",'Assumptions &amp; Inputs'!$E$66,AH70))*AN70)*AS70)+AY70)*VLOOKUP("IN-34",'Assumptions &amp; Inputs'!$A$31:$F$69,5,FALSE),0),0)</f>
        <v>126797.5</v>
      </c>
      <c r="BX70" s="4">
        <f>IF(BP70=1,((AI70+(IF(R70="IN-07",'Assumptions &amp; Inputs'!$C$66,AF70))*AL70)*AS70)+AW70+(((AI70+(IF(R70="IN-07",'Assumptions &amp; Inputs'!$C$66,AF70))*AL70)*AS70)*AZ70)+IF(BD70="Yes",(((AI70+(IF(R70="IN-07",'Assumptions &amp; Inputs'!$C$66,AF70))*AL70)*AS70)+AW70)*VLOOKUP("IN-34",'Assumptions &amp; Inputs'!$A$31:$F$69,3,FALSE),0),0)</f>
        <v>14216.1</v>
      </c>
      <c r="BY70" s="4">
        <f>IF(BP70=1,((AJ70+(IF(R70="IN-07",'Assumptions &amp; Inputs'!$D$66,AG70))*AM70)*AS70)+AX70+(((AJ70+(IF(R70="IN-07",'Assumptions &amp; Inputs'!$D$66,AG70))*AM70)*AS70)*AZ70)+IF(BD70="Yes",(((AJ70+(IF(R70="IN-07",'Assumptions &amp; Inputs'!$D$66,AG70))*AM70)*AS70)+AX70)*VLOOKUP("IN-34",'Assumptions &amp; Inputs'!$A$31:$F$69,4,FALSE),0),0)</f>
        <v>40595.1</v>
      </c>
      <c r="BZ70" s="4">
        <f>IF(BP70=1,((AK70+(IF(R70="IN-07",'Assumptions &amp; Inputs'!$E$66,AH70))*AN70)*AS70)+AY70+(((AK70+(IF(R70="IN-07",'Assumptions &amp; Inputs'!$E$66,AH70))*AN70)*AS70)*AZ70)+IF(BD70="Yes",(((AK70+(IF(R70="IN-07",'Assumptions &amp; Inputs'!$E$66,AH70))*AN70)*AS70)+AY70)*VLOOKUP("IN-34",'Assumptions &amp; Inputs'!$A$31:$F$69,5,FALSE),0),0)</f>
        <v>126797.5</v>
      </c>
      <c r="CA70" s="4">
        <f>IF(BQ70=1,((AI70+(IF(R70="IN-07",'Assumptions &amp; Inputs'!$C$65,AF70))*AL70)*AS70)+AW70+(((AI70+(IF(R70="IN-07",'Assumptions &amp; Inputs'!$C$65,AF70))*AL70)*AS70)*AZ70)+IF(BD70="Yes",(((AI70+(IF(R70="IN-07",'Assumptions &amp; Inputs'!$C$65,AF70))*AL70)*AS70)+AW70)*VLOOKUP("IN-34",'Assumptions &amp; Inputs'!$A$31:$F$69,3,FALSE),0),0)</f>
        <v>14216.1</v>
      </c>
      <c r="CB70" s="4">
        <f>IF(BQ70=1,((AJ70+(IF(R70="IN-07",'Assumptions &amp; Inputs'!$D$65,AG70))*AM70)*AS70)+AX70+(((AJ70+(IF(R70="IN-07",'Assumptions &amp; Inputs'!$D$65,AG70))*AM70)*AS70)*AZ70)+IF(BD70="Yes",(((AJ70+(IF(R70="IN-07",'Assumptions &amp; Inputs'!$D$65,AG70))*AM70)*AS70)+AX70)*VLOOKUP("IN-34",'Assumptions &amp; Inputs'!$A$31:$F$69,4,FALSE),0),0)</f>
        <v>40595.1</v>
      </c>
      <c r="CC70" s="4">
        <f>IF(BQ70=1,((AK70+(IF(R70="IN-07",'Assumptions &amp; Inputs'!$E$65,AH70))*AN70)*AS70)+AY70+(((AK70+(IF(R70="IN-07",'Assumptions &amp; Inputs'!$E$65,AH70))*AN70)*AS70)*AZ70)+IF(BD70="Yes",(((AK70+(IF(R70="IN-07",'Assumptions &amp; Inputs'!$E$65,AH70))*AN70)*AS70)+AY70)*VLOOKUP("IN-34",'Assumptions &amp; Inputs'!$A$31:$F$69,5,FALSE),0),0)</f>
        <v>126797.5</v>
      </c>
      <c r="CD70" s="4">
        <f>IF(BR70=1,((AI70+(IF(R70="IN-07",'Assumptions &amp; Inputs'!$C$65,AF70))*AL70)*AS70)+AW70+(((AI70+(IF(R70="IN-07",'Assumptions &amp; Inputs'!$C$65,AF70))*AL70)*AS70)*AZ70)+IF(BD70="Yes",(((AI70+(IF(R70="IN-07",'Assumptions &amp; Inputs'!$C$65,AF70))*AL70)*AS70)+AW70)*VLOOKUP("IN-34",'Assumptions &amp; Inputs'!$A$31:$F$69,3,FALSE),0),0)</f>
        <v>14216.1</v>
      </c>
      <c r="CE70" s="4">
        <f>IF(BR70=1,((AJ70+(IF(R70="IN-07",'Assumptions &amp; Inputs'!$D$65,AG70))*AM70)*AS70)+AX70+(((AJ70+(IF(R70="IN-07",'Assumptions &amp; Inputs'!$D$65,AG70))*AM70)*AS70)*AZ70)+IF(BD70="Yes",(((AJ70+(IF(R70="IN-07",'Assumptions &amp; Inputs'!$D$65,AG70))*AM70)*AS70)+AX70)*VLOOKUP("IN-34",'Assumptions &amp; Inputs'!$A$31:$F$69,4,FALSE),0),0)</f>
        <v>40595.1</v>
      </c>
      <c r="CF70" s="4">
        <f>IF(BR70=1,((AK70+(IF(R70="IN-07",'Assumptions &amp; Inputs'!$E$65,AH70))*AN70)*AS70)+AY70+(((AK70+(IF(R70="IN-07",'Assumptions &amp; Inputs'!$E$65,AH70))*AN70)*AS70)*AZ70)+IF(BD70="Yes",(((AK70+(IF(R70="IN-07",'Assumptions &amp; Inputs'!$E$65,AH70))*AN70)*AS70)+AY70)*VLOOKUP("IN-34",'Assumptions &amp; Inputs'!$A$31:$F$69,5,FALSE),0),0)</f>
        <v>126797.5</v>
      </c>
      <c r="CG70" s="4">
        <f>IF(BS70=1,((AI70+(IF(R70="IN-07",0,AF70))*AL70)*AS70)+AW70+(((AI70+(IF(R70="IN-07",0,AF70))*AL70)*AS70)*AZ70)+IF(BD70="Yes",(((AI70+(IF(R70="IN-07",0,AF70))*AL70)*AS70)+AW70)*VLOOKUP("IN-34",'Assumptions &amp; Inputs'!$A$31:$F$69,3,FALSE),0),0)</f>
        <v>14216.1</v>
      </c>
      <c r="CH70" s="4">
        <f>IF(BS70=1,((AJ70+(IF(R70="IN-07",0,AG70))*AM70)*AS70)+AX70+(((AJ70+(IF(R70="IN-07",0,AG70))*AM70)*AS70)*AZ70)+IF(BD70="Yes",(((AJ70+(IF(R70="IN-07",0,AG70))*AM70)*AS70)+AX70)*VLOOKUP("IN-34",'Assumptions &amp; Inputs'!$A$31:$F$69,4,FALSE),0),0)</f>
        <v>40595.1</v>
      </c>
      <c r="CI70" s="4">
        <f>IF(BS70=1,((AK70+(IF(R70="IN-07",0,AH70))*AN70)*AS70)+AY70+(((AK70+(IF(R70="IN-07",0,AH70))*AN70)*AS70)*AZ70)+IF(BD70="Yes",(((AK70+(IF(R70="IN-07",0,AH70))*AN70)*AS70)+AY70)*VLOOKUP("IN-34",'Assumptions &amp; Inputs'!$A$31:$F$69,5,FALSE),0),0)</f>
        <v>126797.5</v>
      </c>
      <c r="CJ70" s="4">
        <f>IF(BT70=1,((AI70+(IF(R70="IN-07",0,AF70))*AL70)*AS70)+AW70+(((AI70+(IF(R70="IN-07",0,AF70))*AL70)*AS70)*AZ70)+IF(BD70="Yes",(((AI70+(IF(R70="IN-07",0,AF70))*AL70)*AS70)+AW70)*VLOOKUP("IN-34",'Assumptions &amp; Inputs'!$A$31:$F$69,3,FALSE),0),0)</f>
        <v>14216.1</v>
      </c>
      <c r="CK70" s="4">
        <f>IF(BT70=1,((AJ70+(IF(R70="IN-07",0,AG70))*AM70)*AS70)+AX70+(((AJ70+(IF(R70="IN-07",0,AG70))*AM70)*AS70)*AZ70)+IF(BD70="Yes",(((AJ70+(IF(R70="IN-07",0,AG70))*AM70)*AS70)+AX70)*VLOOKUP("IN-34",'Assumptions &amp; Inputs'!$A$31:$F$69,4,FALSE),0),0)</f>
        <v>40595.1</v>
      </c>
      <c r="CL70" s="4">
        <f>IF(BT70=1,((AK70+(IF(R70="IN-07",0,AH70))*AN70)*AS70)+AY70+(((AK70+(IF(R70="IN-07",0,AH70))*AN70)*AS70)*AZ70)+IF(BD70="Yes",(((AK70+(IF(R70="IN-07",0,AH70))*AN70)*AS70)+AY70)*VLOOKUP("IN-34",'Assumptions &amp; Inputs'!$A$31:$F$69,5,FALSE),0),0)</f>
        <v>126797.5</v>
      </c>
    </row>
    <row r="71" spans="1:90" ht="43.5" x14ac:dyDescent="0.35">
      <c r="A71" s="1" t="s">
        <v>1348</v>
      </c>
      <c r="B71" s="1" t="s">
        <v>206</v>
      </c>
      <c r="C71" s="1" t="s">
        <v>50</v>
      </c>
      <c r="D71" s="1" t="s">
        <v>56</v>
      </c>
      <c r="E71" s="1" t="s">
        <v>1349</v>
      </c>
      <c r="F71" s="1" t="s">
        <v>1350</v>
      </c>
      <c r="G71" s="1" t="s">
        <v>1351</v>
      </c>
      <c r="H71" s="1" t="s">
        <v>1352</v>
      </c>
      <c r="I71" s="1" t="s">
        <v>1265</v>
      </c>
      <c r="J71" s="1" t="s">
        <v>1344</v>
      </c>
      <c r="K71" s="1" t="s">
        <v>1292</v>
      </c>
      <c r="L71" s="1" t="s">
        <v>1265</v>
      </c>
      <c r="M71" s="1" t="s">
        <v>532</v>
      </c>
      <c r="N71" s="1" t="s">
        <v>156</v>
      </c>
      <c r="O71" s="1" t="s">
        <v>533</v>
      </c>
      <c r="P71" s="1" t="s">
        <v>593</v>
      </c>
      <c r="Q71" s="1" t="s">
        <v>1353</v>
      </c>
      <c r="R71" s="1" t="s">
        <v>359</v>
      </c>
      <c r="S71" s="1" t="s">
        <v>1003</v>
      </c>
      <c r="T71" s="1" t="s">
        <v>1269</v>
      </c>
      <c r="U71" s="1" t="s">
        <v>1354</v>
      </c>
      <c r="V71" s="1" t="s">
        <v>1271</v>
      </c>
      <c r="W71" s="1" t="s">
        <v>1355</v>
      </c>
      <c r="X71" s="1" t="s">
        <v>1346</v>
      </c>
      <c r="Y71" s="1" t="s">
        <v>202</v>
      </c>
      <c r="Z71" s="1" t="s">
        <v>601</v>
      </c>
      <c r="AA71" s="1" t="s">
        <v>1274</v>
      </c>
      <c r="AB71" s="1" t="s">
        <v>36</v>
      </c>
      <c r="AC71" s="1" t="s">
        <v>1005</v>
      </c>
      <c r="AD71" s="1" t="s">
        <v>1006</v>
      </c>
      <c r="AE71" s="22">
        <f>IF(ISNUMBER(SEARCH('Scenario Definitions'!$C$5,N71)),1,0)</f>
        <v>1</v>
      </c>
      <c r="AF71" s="22">
        <f>IFERROR(VLOOKUP(R71,'Assumptions &amp; Inputs'!$A$31:$F$69,3,FALSE),0)</f>
        <v>3</v>
      </c>
      <c r="AG71" s="22">
        <f>IFERROR(VLOOKUP(R71,'Assumptions &amp; Inputs'!$A$31:$F$69,4,FALSE),0)</f>
        <v>10</v>
      </c>
      <c r="AH71" s="23">
        <f>IFERROR(VLOOKUP(R71,'Assumptions &amp; Inputs'!$A$31:$F$69,5,FALSE),0)</f>
        <v>32</v>
      </c>
      <c r="AI71" s="11">
        <v>0</v>
      </c>
      <c r="AJ71" s="11">
        <v>0</v>
      </c>
      <c r="AK71" s="11">
        <v>0</v>
      </c>
      <c r="AL71" s="11">
        <v>12</v>
      </c>
      <c r="AM71" s="11">
        <v>16</v>
      </c>
      <c r="AN71" s="11">
        <v>24</v>
      </c>
      <c r="AO71" s="39">
        <f t="shared" si="36"/>
        <v>36</v>
      </c>
      <c r="AP71" s="22">
        <f t="shared" si="37"/>
        <v>160</v>
      </c>
      <c r="AQ71" s="23">
        <f t="shared" si="38"/>
        <v>768</v>
      </c>
      <c r="AR71" s="58" t="s">
        <v>433</v>
      </c>
      <c r="AS71" s="35">
        <f>IFERROR(VLOOKUP(AR71,'Assumptions &amp; Inputs'!$A$73:$I$100,9,FALSE),0)</f>
        <v>95</v>
      </c>
      <c r="AT71" s="30">
        <f t="shared" si="39"/>
        <v>3420</v>
      </c>
      <c r="AU71" s="30">
        <f t="shared" si="40"/>
        <v>15200</v>
      </c>
      <c r="AV71" s="31">
        <f t="shared" si="41"/>
        <v>72960</v>
      </c>
      <c r="AW71" s="57">
        <v>20000</v>
      </c>
      <c r="AX71" s="57">
        <v>50000</v>
      </c>
      <c r="AY71" s="57">
        <v>150000</v>
      </c>
      <c r="AZ71" s="35">
        <f>IFERROR(VLOOKUP(C71,'Assumptions &amp; Inputs'!$A$104:$B$107,2,FALSE),0)</f>
        <v>0.25</v>
      </c>
      <c r="BA71" s="30">
        <f t="shared" si="42"/>
        <v>855</v>
      </c>
      <c r="BB71" s="30">
        <f t="shared" si="43"/>
        <v>3800</v>
      </c>
      <c r="BC71" s="31">
        <f t="shared" si="44"/>
        <v>18240</v>
      </c>
      <c r="BD71" s="57" t="s">
        <v>209</v>
      </c>
      <c r="BE71" s="35">
        <f>IF(BD71="Yes",(AT71+AW71)*VLOOKUP("IN-34",'Assumptions &amp; Inputs'!$A$31:$F$69,3,FALSE),0)</f>
        <v>1171</v>
      </c>
      <c r="BF71" s="30">
        <f>IF(BD71="Yes",(AU71+AX71)*VLOOKUP("IN-34",'Assumptions &amp; Inputs'!$A$31:$F$69,4,FALSE),0)</f>
        <v>4890</v>
      </c>
      <c r="BG71" s="30">
        <f>IF(BD71="Yes",(AV71+AY71)*VLOOKUP("IN-34",'Assumptions &amp; Inputs'!$A$31:$F$69,5,FALSE),0)</f>
        <v>33444</v>
      </c>
      <c r="BH71" s="30">
        <f t="shared" si="45"/>
        <v>25446</v>
      </c>
      <c r="BI71" s="30">
        <f t="shared" si="46"/>
        <v>73890</v>
      </c>
      <c r="BJ71" s="31">
        <f t="shared" si="47"/>
        <v>274644</v>
      </c>
      <c r="BK71" s="58" t="s">
        <v>548</v>
      </c>
      <c r="BL71" s="58" t="s">
        <v>549</v>
      </c>
      <c r="BM71" s="58" t="s">
        <v>1274</v>
      </c>
      <c r="BN71" s="58" t="s">
        <v>550</v>
      </c>
      <c r="BO71" s="5">
        <f t="shared" si="48"/>
        <v>1</v>
      </c>
      <c r="BP71" s="5">
        <f t="shared" si="49"/>
        <v>1</v>
      </c>
      <c r="BQ71" s="5">
        <f t="shared" si="50"/>
        <v>1</v>
      </c>
      <c r="BR71" s="5">
        <f t="shared" si="51"/>
        <v>1</v>
      </c>
      <c r="BS71" s="5">
        <f t="shared" si="52"/>
        <v>1</v>
      </c>
      <c r="BT71" s="5">
        <f t="shared" si="53"/>
        <v>1</v>
      </c>
      <c r="BU71" s="4">
        <f>IF(BO71=1,((AI71+(IF(R71="IN-07",'Assumptions &amp; Inputs'!$C$66,AF71))*AL71)*AS71)+AW71+(((AI71+(IF(R71="IN-07",'Assumptions &amp; Inputs'!$C$66,AF71))*AL71)*AS71)*AZ71)+IF(BD71="Yes",(((AI71+(IF(R71="IN-07",'Assumptions &amp; Inputs'!$C$66,AF71))*AL71)*AS71)+AW71)*VLOOKUP("IN-34",'Assumptions &amp; Inputs'!$A$31:$F$69,3,FALSE),0),0)</f>
        <v>25446</v>
      </c>
      <c r="BV71" s="4">
        <f>IF(BO71=1,((AJ71+(IF(R71="IN-07",'Assumptions &amp; Inputs'!$D$66,AG71))*AM71)*AS71)+AX71+(((AJ71+(IF(R71="IN-07",'Assumptions &amp; Inputs'!$D$66,AG71))*AM71)*AS71)*AZ71)+IF(BD71="Yes",(((AJ71+(IF(R71="IN-07",'Assumptions &amp; Inputs'!$D$66,AG71))*AM71)*AS71)+AX71)*VLOOKUP("IN-34",'Assumptions &amp; Inputs'!$A$31:$F$69,4,FALSE),0),0)</f>
        <v>73890</v>
      </c>
      <c r="BW71" s="4">
        <f>IF(BO71=1,((AK71+(IF(R71="IN-07",'Assumptions &amp; Inputs'!$E$66,AH71))*AN71)*AS71)+AY71+(((AK71+(IF(R71="IN-07",'Assumptions &amp; Inputs'!$E$66,AH71))*AN71)*AS71)*AZ71)+IF(BD71="Yes",(((AK71+(IF(R71="IN-07",'Assumptions &amp; Inputs'!$E$66,AH71))*AN71)*AS71)+AY71)*VLOOKUP("IN-34",'Assumptions &amp; Inputs'!$A$31:$F$69,5,FALSE),0),0)</f>
        <v>274644</v>
      </c>
      <c r="BX71" s="4">
        <f>IF(BP71=1,((AI71+(IF(R71="IN-07",'Assumptions &amp; Inputs'!$C$66,AF71))*AL71)*AS71)+AW71+(((AI71+(IF(R71="IN-07",'Assumptions &amp; Inputs'!$C$66,AF71))*AL71)*AS71)*AZ71)+IF(BD71="Yes",(((AI71+(IF(R71="IN-07",'Assumptions &amp; Inputs'!$C$66,AF71))*AL71)*AS71)+AW71)*VLOOKUP("IN-34",'Assumptions &amp; Inputs'!$A$31:$F$69,3,FALSE),0),0)</f>
        <v>25446</v>
      </c>
      <c r="BY71" s="4">
        <f>IF(BP71=1,((AJ71+(IF(R71="IN-07",'Assumptions &amp; Inputs'!$D$66,AG71))*AM71)*AS71)+AX71+(((AJ71+(IF(R71="IN-07",'Assumptions &amp; Inputs'!$D$66,AG71))*AM71)*AS71)*AZ71)+IF(BD71="Yes",(((AJ71+(IF(R71="IN-07",'Assumptions &amp; Inputs'!$D$66,AG71))*AM71)*AS71)+AX71)*VLOOKUP("IN-34",'Assumptions &amp; Inputs'!$A$31:$F$69,4,FALSE),0),0)</f>
        <v>73890</v>
      </c>
      <c r="BZ71" s="4">
        <f>IF(BP71=1,((AK71+(IF(R71="IN-07",'Assumptions &amp; Inputs'!$E$66,AH71))*AN71)*AS71)+AY71+(((AK71+(IF(R71="IN-07",'Assumptions &amp; Inputs'!$E$66,AH71))*AN71)*AS71)*AZ71)+IF(BD71="Yes",(((AK71+(IF(R71="IN-07",'Assumptions &amp; Inputs'!$E$66,AH71))*AN71)*AS71)+AY71)*VLOOKUP("IN-34",'Assumptions &amp; Inputs'!$A$31:$F$69,5,FALSE),0),0)</f>
        <v>274644</v>
      </c>
      <c r="CA71" s="4">
        <f>IF(BQ71=1,((AI71+(IF(R71="IN-07",'Assumptions &amp; Inputs'!$C$65,AF71))*AL71)*AS71)+AW71+(((AI71+(IF(R71="IN-07",'Assumptions &amp; Inputs'!$C$65,AF71))*AL71)*AS71)*AZ71)+IF(BD71="Yes",(((AI71+(IF(R71="IN-07",'Assumptions &amp; Inputs'!$C$65,AF71))*AL71)*AS71)+AW71)*VLOOKUP("IN-34",'Assumptions &amp; Inputs'!$A$31:$F$69,3,FALSE),0),0)</f>
        <v>25446</v>
      </c>
      <c r="CB71" s="4">
        <f>IF(BQ71=1,((AJ71+(IF(R71="IN-07",'Assumptions &amp; Inputs'!$D$65,AG71))*AM71)*AS71)+AX71+(((AJ71+(IF(R71="IN-07",'Assumptions &amp; Inputs'!$D$65,AG71))*AM71)*AS71)*AZ71)+IF(BD71="Yes",(((AJ71+(IF(R71="IN-07",'Assumptions &amp; Inputs'!$D$65,AG71))*AM71)*AS71)+AX71)*VLOOKUP("IN-34",'Assumptions &amp; Inputs'!$A$31:$F$69,4,FALSE),0),0)</f>
        <v>73890</v>
      </c>
      <c r="CC71" s="4">
        <f>IF(BQ71=1,((AK71+(IF(R71="IN-07",'Assumptions &amp; Inputs'!$E$65,AH71))*AN71)*AS71)+AY71+(((AK71+(IF(R71="IN-07",'Assumptions &amp; Inputs'!$E$65,AH71))*AN71)*AS71)*AZ71)+IF(BD71="Yes",(((AK71+(IF(R71="IN-07",'Assumptions &amp; Inputs'!$E$65,AH71))*AN71)*AS71)+AY71)*VLOOKUP("IN-34",'Assumptions &amp; Inputs'!$A$31:$F$69,5,FALSE),0),0)</f>
        <v>274644</v>
      </c>
      <c r="CD71" s="4">
        <f>IF(BR71=1,((AI71+(IF(R71="IN-07",'Assumptions &amp; Inputs'!$C$65,AF71))*AL71)*AS71)+AW71+(((AI71+(IF(R71="IN-07",'Assumptions &amp; Inputs'!$C$65,AF71))*AL71)*AS71)*AZ71)+IF(BD71="Yes",(((AI71+(IF(R71="IN-07",'Assumptions &amp; Inputs'!$C$65,AF71))*AL71)*AS71)+AW71)*VLOOKUP("IN-34",'Assumptions &amp; Inputs'!$A$31:$F$69,3,FALSE),0),0)</f>
        <v>25446</v>
      </c>
      <c r="CE71" s="4">
        <f>IF(BR71=1,((AJ71+(IF(R71="IN-07",'Assumptions &amp; Inputs'!$D$65,AG71))*AM71)*AS71)+AX71+(((AJ71+(IF(R71="IN-07",'Assumptions &amp; Inputs'!$D$65,AG71))*AM71)*AS71)*AZ71)+IF(BD71="Yes",(((AJ71+(IF(R71="IN-07",'Assumptions &amp; Inputs'!$D$65,AG71))*AM71)*AS71)+AX71)*VLOOKUP("IN-34",'Assumptions &amp; Inputs'!$A$31:$F$69,4,FALSE),0),0)</f>
        <v>73890</v>
      </c>
      <c r="CF71" s="4">
        <f>IF(BR71=1,((AK71+(IF(R71="IN-07",'Assumptions &amp; Inputs'!$E$65,AH71))*AN71)*AS71)+AY71+(((AK71+(IF(R71="IN-07",'Assumptions &amp; Inputs'!$E$65,AH71))*AN71)*AS71)*AZ71)+IF(BD71="Yes",(((AK71+(IF(R71="IN-07",'Assumptions &amp; Inputs'!$E$65,AH71))*AN71)*AS71)+AY71)*VLOOKUP("IN-34",'Assumptions &amp; Inputs'!$A$31:$F$69,5,FALSE),0),0)</f>
        <v>274644</v>
      </c>
      <c r="CG71" s="4">
        <f>IF(BS71=1,((AI71+(IF(R71="IN-07",0,AF71))*AL71)*AS71)+AW71+(((AI71+(IF(R71="IN-07",0,AF71))*AL71)*AS71)*AZ71)+IF(BD71="Yes",(((AI71+(IF(R71="IN-07",0,AF71))*AL71)*AS71)+AW71)*VLOOKUP("IN-34",'Assumptions &amp; Inputs'!$A$31:$F$69,3,FALSE),0),0)</f>
        <v>25446</v>
      </c>
      <c r="CH71" s="4">
        <f>IF(BS71=1,((AJ71+(IF(R71="IN-07",0,AG71))*AM71)*AS71)+AX71+(((AJ71+(IF(R71="IN-07",0,AG71))*AM71)*AS71)*AZ71)+IF(BD71="Yes",(((AJ71+(IF(R71="IN-07",0,AG71))*AM71)*AS71)+AX71)*VLOOKUP("IN-34",'Assumptions &amp; Inputs'!$A$31:$F$69,4,FALSE),0),0)</f>
        <v>73890</v>
      </c>
      <c r="CI71" s="4">
        <f>IF(BS71=1,((AK71+(IF(R71="IN-07",0,AH71))*AN71)*AS71)+AY71+(((AK71+(IF(R71="IN-07",0,AH71))*AN71)*AS71)*AZ71)+IF(BD71="Yes",(((AK71+(IF(R71="IN-07",0,AH71))*AN71)*AS71)+AY71)*VLOOKUP("IN-34",'Assumptions &amp; Inputs'!$A$31:$F$69,5,FALSE),0),0)</f>
        <v>274644</v>
      </c>
      <c r="CJ71" s="4">
        <f>IF(BT71=1,((AI71+(IF(R71="IN-07",0,AF71))*AL71)*AS71)+AW71+(((AI71+(IF(R71="IN-07",0,AF71))*AL71)*AS71)*AZ71)+IF(BD71="Yes",(((AI71+(IF(R71="IN-07",0,AF71))*AL71)*AS71)+AW71)*VLOOKUP("IN-34",'Assumptions &amp; Inputs'!$A$31:$F$69,3,FALSE),0),0)</f>
        <v>25446</v>
      </c>
      <c r="CK71" s="4">
        <f>IF(BT71=1,((AJ71+(IF(R71="IN-07",0,AG71))*AM71)*AS71)+AX71+(((AJ71+(IF(R71="IN-07",0,AG71))*AM71)*AS71)*AZ71)+IF(BD71="Yes",(((AJ71+(IF(R71="IN-07",0,AG71))*AM71)*AS71)+AX71)*VLOOKUP("IN-34",'Assumptions &amp; Inputs'!$A$31:$F$69,4,FALSE),0),0)</f>
        <v>73890</v>
      </c>
      <c r="CL71" s="4">
        <f>IF(BT71=1,((AK71+(IF(R71="IN-07",0,AH71))*AN71)*AS71)+AY71+(((AK71+(IF(R71="IN-07",0,AH71))*AN71)*AS71)*AZ71)+IF(BD71="Yes",(((AK71+(IF(R71="IN-07",0,AH71))*AN71)*AS71)+AY71)*VLOOKUP("IN-34",'Assumptions &amp; Inputs'!$A$31:$F$69,5,FALSE),0),0)</f>
        <v>274644</v>
      </c>
    </row>
    <row r="72" spans="1:90" ht="43.5" x14ac:dyDescent="0.35">
      <c r="A72" s="1" t="s">
        <v>1356</v>
      </c>
      <c r="B72" s="1" t="s">
        <v>1357</v>
      </c>
      <c r="C72" s="1" t="s">
        <v>50</v>
      </c>
      <c r="D72" s="1" t="s">
        <v>57</v>
      </c>
      <c r="E72" s="1" t="s">
        <v>1358</v>
      </c>
      <c r="F72" s="1" t="s">
        <v>1359</v>
      </c>
      <c r="G72" s="1" t="s">
        <v>1360</v>
      </c>
      <c r="H72" s="1" t="s">
        <v>1361</v>
      </c>
      <c r="I72" s="1" t="s">
        <v>1265</v>
      </c>
      <c r="J72" s="1" t="s">
        <v>1362</v>
      </c>
      <c r="K72" s="1" t="s">
        <v>1363</v>
      </c>
      <c r="L72" s="1" t="s">
        <v>1265</v>
      </c>
      <c r="M72" s="1" t="s">
        <v>532</v>
      </c>
      <c r="N72" s="1" t="s">
        <v>156</v>
      </c>
      <c r="O72" s="1" t="s">
        <v>533</v>
      </c>
      <c r="P72" s="1" t="s">
        <v>593</v>
      </c>
      <c r="Q72" s="1" t="s">
        <v>1268</v>
      </c>
      <c r="R72" s="1" t="s">
        <v>303</v>
      </c>
      <c r="S72" s="1" t="s">
        <v>1028</v>
      </c>
      <c r="T72" s="1" t="s">
        <v>1269</v>
      </c>
      <c r="U72" s="1" t="s">
        <v>1364</v>
      </c>
      <c r="V72" s="1" t="s">
        <v>1271</v>
      </c>
      <c r="W72" s="1" t="s">
        <v>993</v>
      </c>
      <c r="X72" s="1" t="s">
        <v>1365</v>
      </c>
      <c r="Y72" s="1" t="s">
        <v>1217</v>
      </c>
      <c r="Z72" s="1" t="s">
        <v>543</v>
      </c>
      <c r="AA72" s="1" t="s">
        <v>1031</v>
      </c>
      <c r="AB72" s="1" t="s">
        <v>545</v>
      </c>
      <c r="AC72" s="1" t="s">
        <v>1032</v>
      </c>
      <c r="AD72" s="1" t="s">
        <v>1033</v>
      </c>
      <c r="AE72" s="22">
        <f>IF(ISNUMBER(SEARCH('Scenario Definitions'!$C$5,N72)),1,0)</f>
        <v>1</v>
      </c>
      <c r="AF72" s="22">
        <f>IFERROR(VLOOKUP(R72,'Assumptions &amp; Inputs'!$A$31:$F$69,3,FALSE),0)</f>
        <v>6</v>
      </c>
      <c r="AG72" s="22">
        <f>IFERROR(VLOOKUP(R72,'Assumptions &amp; Inputs'!$A$31:$F$69,4,FALSE),0)</f>
        <v>12</v>
      </c>
      <c r="AH72" s="23">
        <f>IFERROR(VLOOKUP(R72,'Assumptions &amp; Inputs'!$A$31:$F$69,5,FALSE),0)</f>
        <v>25</v>
      </c>
      <c r="AI72" s="11">
        <v>0</v>
      </c>
      <c r="AJ72" s="11">
        <v>0</v>
      </c>
      <c r="AK72" s="11">
        <v>0</v>
      </c>
      <c r="AL72" s="11">
        <v>9</v>
      </c>
      <c r="AM72" s="11">
        <v>12</v>
      </c>
      <c r="AN72" s="11">
        <v>18</v>
      </c>
      <c r="AO72" s="39">
        <f t="shared" si="36"/>
        <v>54</v>
      </c>
      <c r="AP72" s="22">
        <f t="shared" si="37"/>
        <v>144</v>
      </c>
      <c r="AQ72" s="23">
        <f t="shared" si="38"/>
        <v>450</v>
      </c>
      <c r="AR72" s="58" t="s">
        <v>433</v>
      </c>
      <c r="AS72" s="35">
        <f>IFERROR(VLOOKUP(AR72,'Assumptions &amp; Inputs'!$A$73:$I$100,9,FALSE),0)</f>
        <v>95</v>
      </c>
      <c r="AT72" s="30">
        <f t="shared" si="39"/>
        <v>5130</v>
      </c>
      <c r="AU72" s="30">
        <f t="shared" si="40"/>
        <v>13680</v>
      </c>
      <c r="AV72" s="31">
        <f t="shared" si="41"/>
        <v>42750</v>
      </c>
      <c r="AW72" s="57">
        <v>1000</v>
      </c>
      <c r="AX72" s="57">
        <v>3000</v>
      </c>
      <c r="AY72" s="57">
        <v>8000</v>
      </c>
      <c r="AZ72" s="35">
        <f>IFERROR(VLOOKUP(C72,'Assumptions &amp; Inputs'!$A$104:$B$107,2,FALSE),0)</f>
        <v>0.25</v>
      </c>
      <c r="BA72" s="30">
        <f t="shared" si="42"/>
        <v>1282.5</v>
      </c>
      <c r="BB72" s="30">
        <f t="shared" si="43"/>
        <v>3420</v>
      </c>
      <c r="BC72" s="31">
        <f t="shared" si="44"/>
        <v>10687.5</v>
      </c>
      <c r="BD72" s="57" t="s">
        <v>209</v>
      </c>
      <c r="BE72" s="35">
        <f>IF(BD72="Yes",(AT72+AW72)*VLOOKUP("IN-34",'Assumptions &amp; Inputs'!$A$31:$F$69,3,FALSE),0)</f>
        <v>306.5</v>
      </c>
      <c r="BF72" s="30">
        <f>IF(BD72="Yes",(AU72+AX72)*VLOOKUP("IN-34",'Assumptions &amp; Inputs'!$A$31:$F$69,4,FALSE),0)</f>
        <v>1251</v>
      </c>
      <c r="BG72" s="30">
        <f>IF(BD72="Yes",(AV72+AY72)*VLOOKUP("IN-34",'Assumptions &amp; Inputs'!$A$31:$F$69,5,FALSE),0)</f>
        <v>7612.5</v>
      </c>
      <c r="BH72" s="30">
        <f t="shared" si="45"/>
        <v>7719</v>
      </c>
      <c r="BI72" s="30">
        <f t="shared" si="46"/>
        <v>21351</v>
      </c>
      <c r="BJ72" s="31">
        <f t="shared" si="47"/>
        <v>69050</v>
      </c>
      <c r="BK72" s="58" t="s">
        <v>548</v>
      </c>
      <c r="BL72" s="58" t="s">
        <v>549</v>
      </c>
      <c r="BM72" s="58" t="s">
        <v>1031</v>
      </c>
      <c r="BN72" s="58" t="s">
        <v>550</v>
      </c>
      <c r="BO72" s="5">
        <f t="shared" si="48"/>
        <v>1</v>
      </c>
      <c r="BP72" s="5">
        <f t="shared" si="49"/>
        <v>1</v>
      </c>
      <c r="BQ72" s="5">
        <f t="shared" si="50"/>
        <v>1</v>
      </c>
      <c r="BR72" s="5">
        <f t="shared" si="51"/>
        <v>1</v>
      </c>
      <c r="BS72" s="5">
        <f t="shared" si="52"/>
        <v>1</v>
      </c>
      <c r="BT72" s="5">
        <f t="shared" si="53"/>
        <v>1</v>
      </c>
      <c r="BU72" s="4">
        <f>IF(BO72=1,((AI72+(IF(R72="IN-07",'Assumptions &amp; Inputs'!$C$66,AF72))*AL72)*AS72)+AW72+(((AI72+(IF(R72="IN-07",'Assumptions &amp; Inputs'!$C$66,AF72))*AL72)*AS72)*AZ72)+IF(BD72="Yes",(((AI72+(IF(R72="IN-07",'Assumptions &amp; Inputs'!$C$66,AF72))*AL72)*AS72)+AW72)*VLOOKUP("IN-34",'Assumptions &amp; Inputs'!$A$31:$F$69,3,FALSE),0),0)</f>
        <v>7719</v>
      </c>
      <c r="BV72" s="4">
        <f>IF(BO72=1,((AJ72+(IF(R72="IN-07",'Assumptions &amp; Inputs'!$D$66,AG72))*AM72)*AS72)+AX72+(((AJ72+(IF(R72="IN-07",'Assumptions &amp; Inputs'!$D$66,AG72))*AM72)*AS72)*AZ72)+IF(BD72="Yes",(((AJ72+(IF(R72="IN-07",'Assumptions &amp; Inputs'!$D$66,AG72))*AM72)*AS72)+AX72)*VLOOKUP("IN-34",'Assumptions &amp; Inputs'!$A$31:$F$69,4,FALSE),0),0)</f>
        <v>21351</v>
      </c>
      <c r="BW72" s="4">
        <f>IF(BO72=1,((AK72+(IF(R72="IN-07",'Assumptions &amp; Inputs'!$E$66,AH72))*AN72)*AS72)+AY72+(((AK72+(IF(R72="IN-07",'Assumptions &amp; Inputs'!$E$66,AH72))*AN72)*AS72)*AZ72)+IF(BD72="Yes",(((AK72+(IF(R72="IN-07",'Assumptions &amp; Inputs'!$E$66,AH72))*AN72)*AS72)+AY72)*VLOOKUP("IN-34",'Assumptions &amp; Inputs'!$A$31:$F$69,5,FALSE),0),0)</f>
        <v>69050</v>
      </c>
      <c r="BX72" s="4">
        <f>IF(BP72=1,((AI72+(IF(R72="IN-07",'Assumptions &amp; Inputs'!$C$66,AF72))*AL72)*AS72)+AW72+(((AI72+(IF(R72="IN-07",'Assumptions &amp; Inputs'!$C$66,AF72))*AL72)*AS72)*AZ72)+IF(BD72="Yes",(((AI72+(IF(R72="IN-07",'Assumptions &amp; Inputs'!$C$66,AF72))*AL72)*AS72)+AW72)*VLOOKUP("IN-34",'Assumptions &amp; Inputs'!$A$31:$F$69,3,FALSE),0),0)</f>
        <v>7719</v>
      </c>
      <c r="BY72" s="4">
        <f>IF(BP72=1,((AJ72+(IF(R72="IN-07",'Assumptions &amp; Inputs'!$D$66,AG72))*AM72)*AS72)+AX72+(((AJ72+(IF(R72="IN-07",'Assumptions &amp; Inputs'!$D$66,AG72))*AM72)*AS72)*AZ72)+IF(BD72="Yes",(((AJ72+(IF(R72="IN-07",'Assumptions &amp; Inputs'!$D$66,AG72))*AM72)*AS72)+AX72)*VLOOKUP("IN-34",'Assumptions &amp; Inputs'!$A$31:$F$69,4,FALSE),0),0)</f>
        <v>21351</v>
      </c>
      <c r="BZ72" s="4">
        <f>IF(BP72=1,((AK72+(IF(R72="IN-07",'Assumptions &amp; Inputs'!$E$66,AH72))*AN72)*AS72)+AY72+(((AK72+(IF(R72="IN-07",'Assumptions &amp; Inputs'!$E$66,AH72))*AN72)*AS72)*AZ72)+IF(BD72="Yes",(((AK72+(IF(R72="IN-07",'Assumptions &amp; Inputs'!$E$66,AH72))*AN72)*AS72)+AY72)*VLOOKUP("IN-34",'Assumptions &amp; Inputs'!$A$31:$F$69,5,FALSE),0),0)</f>
        <v>69050</v>
      </c>
      <c r="CA72" s="4">
        <f>IF(BQ72=1,((AI72+(IF(R72="IN-07",'Assumptions &amp; Inputs'!$C$65,AF72))*AL72)*AS72)+AW72+(((AI72+(IF(R72="IN-07",'Assumptions &amp; Inputs'!$C$65,AF72))*AL72)*AS72)*AZ72)+IF(BD72="Yes",(((AI72+(IF(R72="IN-07",'Assumptions &amp; Inputs'!$C$65,AF72))*AL72)*AS72)+AW72)*VLOOKUP("IN-34",'Assumptions &amp; Inputs'!$A$31:$F$69,3,FALSE),0),0)</f>
        <v>7719</v>
      </c>
      <c r="CB72" s="4">
        <f>IF(BQ72=1,((AJ72+(IF(R72="IN-07",'Assumptions &amp; Inputs'!$D$65,AG72))*AM72)*AS72)+AX72+(((AJ72+(IF(R72="IN-07",'Assumptions &amp; Inputs'!$D$65,AG72))*AM72)*AS72)*AZ72)+IF(BD72="Yes",(((AJ72+(IF(R72="IN-07",'Assumptions &amp; Inputs'!$D$65,AG72))*AM72)*AS72)+AX72)*VLOOKUP("IN-34",'Assumptions &amp; Inputs'!$A$31:$F$69,4,FALSE),0),0)</f>
        <v>21351</v>
      </c>
      <c r="CC72" s="4">
        <f>IF(BQ72=1,((AK72+(IF(R72="IN-07",'Assumptions &amp; Inputs'!$E$65,AH72))*AN72)*AS72)+AY72+(((AK72+(IF(R72="IN-07",'Assumptions &amp; Inputs'!$E$65,AH72))*AN72)*AS72)*AZ72)+IF(BD72="Yes",(((AK72+(IF(R72="IN-07",'Assumptions &amp; Inputs'!$E$65,AH72))*AN72)*AS72)+AY72)*VLOOKUP("IN-34",'Assumptions &amp; Inputs'!$A$31:$F$69,5,FALSE),0),0)</f>
        <v>69050</v>
      </c>
      <c r="CD72" s="4">
        <f>IF(BR72=1,((AI72+(IF(R72="IN-07",'Assumptions &amp; Inputs'!$C$65,AF72))*AL72)*AS72)+AW72+(((AI72+(IF(R72="IN-07",'Assumptions &amp; Inputs'!$C$65,AF72))*AL72)*AS72)*AZ72)+IF(BD72="Yes",(((AI72+(IF(R72="IN-07",'Assumptions &amp; Inputs'!$C$65,AF72))*AL72)*AS72)+AW72)*VLOOKUP("IN-34",'Assumptions &amp; Inputs'!$A$31:$F$69,3,FALSE),0),0)</f>
        <v>7719</v>
      </c>
      <c r="CE72" s="4">
        <f>IF(BR72=1,((AJ72+(IF(R72="IN-07",'Assumptions &amp; Inputs'!$D$65,AG72))*AM72)*AS72)+AX72+(((AJ72+(IF(R72="IN-07",'Assumptions &amp; Inputs'!$D$65,AG72))*AM72)*AS72)*AZ72)+IF(BD72="Yes",(((AJ72+(IF(R72="IN-07",'Assumptions &amp; Inputs'!$D$65,AG72))*AM72)*AS72)+AX72)*VLOOKUP("IN-34",'Assumptions &amp; Inputs'!$A$31:$F$69,4,FALSE),0),0)</f>
        <v>21351</v>
      </c>
      <c r="CF72" s="4">
        <f>IF(BR72=1,((AK72+(IF(R72="IN-07",'Assumptions &amp; Inputs'!$E$65,AH72))*AN72)*AS72)+AY72+(((AK72+(IF(R72="IN-07",'Assumptions &amp; Inputs'!$E$65,AH72))*AN72)*AS72)*AZ72)+IF(BD72="Yes",(((AK72+(IF(R72="IN-07",'Assumptions &amp; Inputs'!$E$65,AH72))*AN72)*AS72)+AY72)*VLOOKUP("IN-34",'Assumptions &amp; Inputs'!$A$31:$F$69,5,FALSE),0),0)</f>
        <v>69050</v>
      </c>
      <c r="CG72" s="4">
        <f>IF(BS72=1,((AI72+(IF(R72="IN-07",0,AF72))*AL72)*AS72)+AW72+(((AI72+(IF(R72="IN-07",0,AF72))*AL72)*AS72)*AZ72)+IF(BD72="Yes",(((AI72+(IF(R72="IN-07",0,AF72))*AL72)*AS72)+AW72)*VLOOKUP("IN-34",'Assumptions &amp; Inputs'!$A$31:$F$69,3,FALSE),0),0)</f>
        <v>7719</v>
      </c>
      <c r="CH72" s="4">
        <f>IF(BS72=1,((AJ72+(IF(R72="IN-07",0,AG72))*AM72)*AS72)+AX72+(((AJ72+(IF(R72="IN-07",0,AG72))*AM72)*AS72)*AZ72)+IF(BD72="Yes",(((AJ72+(IF(R72="IN-07",0,AG72))*AM72)*AS72)+AX72)*VLOOKUP("IN-34",'Assumptions &amp; Inputs'!$A$31:$F$69,4,FALSE),0),0)</f>
        <v>21351</v>
      </c>
      <c r="CI72" s="4">
        <f>IF(BS72=1,((AK72+(IF(R72="IN-07",0,AH72))*AN72)*AS72)+AY72+(((AK72+(IF(R72="IN-07",0,AH72))*AN72)*AS72)*AZ72)+IF(BD72="Yes",(((AK72+(IF(R72="IN-07",0,AH72))*AN72)*AS72)+AY72)*VLOOKUP("IN-34",'Assumptions &amp; Inputs'!$A$31:$F$69,5,FALSE),0),0)</f>
        <v>69050</v>
      </c>
      <c r="CJ72" s="4">
        <f>IF(BT72=1,((AI72+(IF(R72="IN-07",0,AF72))*AL72)*AS72)+AW72+(((AI72+(IF(R72="IN-07",0,AF72))*AL72)*AS72)*AZ72)+IF(BD72="Yes",(((AI72+(IF(R72="IN-07",0,AF72))*AL72)*AS72)+AW72)*VLOOKUP("IN-34",'Assumptions &amp; Inputs'!$A$31:$F$69,3,FALSE),0),0)</f>
        <v>7719</v>
      </c>
      <c r="CK72" s="4">
        <f>IF(BT72=1,((AJ72+(IF(R72="IN-07",0,AG72))*AM72)*AS72)+AX72+(((AJ72+(IF(R72="IN-07",0,AG72))*AM72)*AS72)*AZ72)+IF(BD72="Yes",(((AJ72+(IF(R72="IN-07",0,AG72))*AM72)*AS72)+AX72)*VLOOKUP("IN-34",'Assumptions &amp; Inputs'!$A$31:$F$69,4,FALSE),0),0)</f>
        <v>21351</v>
      </c>
      <c r="CL72" s="4">
        <f>IF(BT72=1,((AK72+(IF(R72="IN-07",0,AH72))*AN72)*AS72)+AY72+(((AK72+(IF(R72="IN-07",0,AH72))*AN72)*AS72)*AZ72)+IF(BD72="Yes",(((AK72+(IF(R72="IN-07",0,AH72))*AN72)*AS72)+AY72)*VLOOKUP("IN-34",'Assumptions &amp; Inputs'!$A$31:$F$69,5,FALSE),0),0)</f>
        <v>69050</v>
      </c>
    </row>
    <row r="73" spans="1:90" ht="43.5" x14ac:dyDescent="0.35">
      <c r="A73" s="1" t="s">
        <v>1366</v>
      </c>
      <c r="B73" s="1" t="s">
        <v>1367</v>
      </c>
      <c r="C73" s="1" t="s">
        <v>50</v>
      </c>
      <c r="D73" s="1" t="s">
        <v>57</v>
      </c>
      <c r="E73" s="1" t="s">
        <v>1368</v>
      </c>
      <c r="F73" s="1" t="s">
        <v>1369</v>
      </c>
      <c r="G73" s="1" t="s">
        <v>1370</v>
      </c>
      <c r="H73" s="1" t="s">
        <v>1371</v>
      </c>
      <c r="I73" s="1" t="s">
        <v>1265</v>
      </c>
      <c r="J73" s="1" t="s">
        <v>1271</v>
      </c>
      <c r="K73" s="1" t="s">
        <v>1372</v>
      </c>
      <c r="L73" s="1" t="s">
        <v>1265</v>
      </c>
      <c r="M73" s="1" t="s">
        <v>532</v>
      </c>
      <c r="N73" s="1" t="s">
        <v>156</v>
      </c>
      <c r="O73" s="1" t="s">
        <v>533</v>
      </c>
      <c r="P73" s="1" t="s">
        <v>593</v>
      </c>
      <c r="Q73" s="1" t="s">
        <v>1268</v>
      </c>
      <c r="R73" s="1" t="s">
        <v>303</v>
      </c>
      <c r="S73" s="1" t="s">
        <v>1028</v>
      </c>
      <c r="T73" s="1" t="s">
        <v>1269</v>
      </c>
      <c r="U73" s="1" t="s">
        <v>1373</v>
      </c>
      <c r="V73" s="1" t="s">
        <v>1271</v>
      </c>
      <c r="W73" s="1" t="s">
        <v>540</v>
      </c>
      <c r="X73" s="1" t="s">
        <v>1266</v>
      </c>
      <c r="Y73" s="1" t="s">
        <v>1102</v>
      </c>
      <c r="Z73" s="1" t="s">
        <v>543</v>
      </c>
      <c r="AA73" s="1" t="s">
        <v>749</v>
      </c>
      <c r="AB73" s="1" t="s">
        <v>545</v>
      </c>
      <c r="AC73" s="1" t="s">
        <v>750</v>
      </c>
      <c r="AD73" s="1" t="s">
        <v>751</v>
      </c>
      <c r="AE73" s="22">
        <f>IF(ISNUMBER(SEARCH('Scenario Definitions'!$C$5,N73)),1,0)</f>
        <v>1</v>
      </c>
      <c r="AF73" s="22">
        <f>IFERROR(VLOOKUP(R73,'Assumptions &amp; Inputs'!$A$31:$F$69,3,FALSE),0)</f>
        <v>6</v>
      </c>
      <c r="AG73" s="22">
        <f>IFERROR(VLOOKUP(R73,'Assumptions &amp; Inputs'!$A$31:$F$69,4,FALSE),0)</f>
        <v>12</v>
      </c>
      <c r="AH73" s="23">
        <f>IFERROR(VLOOKUP(R73,'Assumptions &amp; Inputs'!$A$31:$F$69,5,FALSE),0)</f>
        <v>25</v>
      </c>
      <c r="AI73" s="11">
        <v>0</v>
      </c>
      <c r="AJ73" s="11">
        <v>0</v>
      </c>
      <c r="AK73" s="11">
        <v>0</v>
      </c>
      <c r="AL73" s="11">
        <v>9</v>
      </c>
      <c r="AM73" s="11">
        <v>12</v>
      </c>
      <c r="AN73" s="11">
        <v>18</v>
      </c>
      <c r="AO73" s="39">
        <f t="shared" si="36"/>
        <v>54</v>
      </c>
      <c r="AP73" s="22">
        <f t="shared" si="37"/>
        <v>144</v>
      </c>
      <c r="AQ73" s="23">
        <f t="shared" si="38"/>
        <v>450</v>
      </c>
      <c r="AR73" s="58" t="s">
        <v>433</v>
      </c>
      <c r="AS73" s="35">
        <f>IFERROR(VLOOKUP(AR73,'Assumptions &amp; Inputs'!$A$73:$I$100,9,FALSE),0)</f>
        <v>95</v>
      </c>
      <c r="AT73" s="30">
        <f t="shared" si="39"/>
        <v>5130</v>
      </c>
      <c r="AU73" s="30">
        <f t="shared" si="40"/>
        <v>13680</v>
      </c>
      <c r="AV73" s="31">
        <f t="shared" si="41"/>
        <v>42750</v>
      </c>
      <c r="AW73" s="57">
        <v>0</v>
      </c>
      <c r="AX73" s="57">
        <v>0</v>
      </c>
      <c r="AY73" s="57">
        <v>0</v>
      </c>
      <c r="AZ73" s="35">
        <f>IFERROR(VLOOKUP(C73,'Assumptions &amp; Inputs'!$A$104:$B$107,2,FALSE),0)</f>
        <v>0.25</v>
      </c>
      <c r="BA73" s="30">
        <f t="shared" si="42"/>
        <v>1282.5</v>
      </c>
      <c r="BB73" s="30">
        <f t="shared" si="43"/>
        <v>3420</v>
      </c>
      <c r="BC73" s="31">
        <f t="shared" si="44"/>
        <v>10687.5</v>
      </c>
      <c r="BD73" s="57" t="s">
        <v>209</v>
      </c>
      <c r="BE73" s="35">
        <f>IF(BD73="Yes",(AT73+AW73)*VLOOKUP("IN-34",'Assumptions &amp; Inputs'!$A$31:$F$69,3,FALSE),0)</f>
        <v>256.5</v>
      </c>
      <c r="BF73" s="30">
        <f>IF(BD73="Yes",(AU73+AX73)*VLOOKUP("IN-34",'Assumptions &amp; Inputs'!$A$31:$F$69,4,FALSE),0)</f>
        <v>1026</v>
      </c>
      <c r="BG73" s="30">
        <f>IF(BD73="Yes",(AV73+AY73)*VLOOKUP("IN-34",'Assumptions &amp; Inputs'!$A$31:$F$69,5,FALSE),0)</f>
        <v>6412.5</v>
      </c>
      <c r="BH73" s="30">
        <f t="shared" si="45"/>
        <v>6669</v>
      </c>
      <c r="BI73" s="30">
        <f t="shared" si="46"/>
        <v>18126</v>
      </c>
      <c r="BJ73" s="31">
        <f t="shared" si="47"/>
        <v>59850</v>
      </c>
      <c r="BK73" s="58" t="s">
        <v>548</v>
      </c>
      <c r="BL73" s="58" t="s">
        <v>549</v>
      </c>
      <c r="BM73" s="58" t="s">
        <v>749</v>
      </c>
      <c r="BN73" s="58" t="s">
        <v>550</v>
      </c>
      <c r="BO73" s="5">
        <f t="shared" si="48"/>
        <v>1</v>
      </c>
      <c r="BP73" s="5">
        <f t="shared" si="49"/>
        <v>1</v>
      </c>
      <c r="BQ73" s="5">
        <f t="shared" si="50"/>
        <v>1</v>
      </c>
      <c r="BR73" s="5">
        <f t="shared" si="51"/>
        <v>1</v>
      </c>
      <c r="BS73" s="5">
        <f t="shared" si="52"/>
        <v>1</v>
      </c>
      <c r="BT73" s="5">
        <f t="shared" si="53"/>
        <v>1</v>
      </c>
      <c r="BU73" s="4">
        <f>IF(BO73=1,((AI73+(IF(R73="IN-07",'Assumptions &amp; Inputs'!$C$66,AF73))*AL73)*AS73)+AW73+(((AI73+(IF(R73="IN-07",'Assumptions &amp; Inputs'!$C$66,AF73))*AL73)*AS73)*AZ73)+IF(BD73="Yes",(((AI73+(IF(R73="IN-07",'Assumptions &amp; Inputs'!$C$66,AF73))*AL73)*AS73)+AW73)*VLOOKUP("IN-34",'Assumptions &amp; Inputs'!$A$31:$F$69,3,FALSE),0),0)</f>
        <v>6669</v>
      </c>
      <c r="BV73" s="4">
        <f>IF(BO73=1,((AJ73+(IF(R73="IN-07",'Assumptions &amp; Inputs'!$D$66,AG73))*AM73)*AS73)+AX73+(((AJ73+(IF(R73="IN-07",'Assumptions &amp; Inputs'!$D$66,AG73))*AM73)*AS73)*AZ73)+IF(BD73="Yes",(((AJ73+(IF(R73="IN-07",'Assumptions &amp; Inputs'!$D$66,AG73))*AM73)*AS73)+AX73)*VLOOKUP("IN-34",'Assumptions &amp; Inputs'!$A$31:$F$69,4,FALSE),0),0)</f>
        <v>18126</v>
      </c>
      <c r="BW73" s="4">
        <f>IF(BO73=1,((AK73+(IF(R73="IN-07",'Assumptions &amp; Inputs'!$E$66,AH73))*AN73)*AS73)+AY73+(((AK73+(IF(R73="IN-07",'Assumptions &amp; Inputs'!$E$66,AH73))*AN73)*AS73)*AZ73)+IF(BD73="Yes",(((AK73+(IF(R73="IN-07",'Assumptions &amp; Inputs'!$E$66,AH73))*AN73)*AS73)+AY73)*VLOOKUP("IN-34",'Assumptions &amp; Inputs'!$A$31:$F$69,5,FALSE),0),0)</f>
        <v>59850</v>
      </c>
      <c r="BX73" s="4">
        <f>IF(BP73=1,((AI73+(IF(R73="IN-07",'Assumptions &amp; Inputs'!$C$66,AF73))*AL73)*AS73)+AW73+(((AI73+(IF(R73="IN-07",'Assumptions &amp; Inputs'!$C$66,AF73))*AL73)*AS73)*AZ73)+IF(BD73="Yes",(((AI73+(IF(R73="IN-07",'Assumptions &amp; Inputs'!$C$66,AF73))*AL73)*AS73)+AW73)*VLOOKUP("IN-34",'Assumptions &amp; Inputs'!$A$31:$F$69,3,FALSE),0),0)</f>
        <v>6669</v>
      </c>
      <c r="BY73" s="4">
        <f>IF(BP73=1,((AJ73+(IF(R73="IN-07",'Assumptions &amp; Inputs'!$D$66,AG73))*AM73)*AS73)+AX73+(((AJ73+(IF(R73="IN-07",'Assumptions &amp; Inputs'!$D$66,AG73))*AM73)*AS73)*AZ73)+IF(BD73="Yes",(((AJ73+(IF(R73="IN-07",'Assumptions &amp; Inputs'!$D$66,AG73))*AM73)*AS73)+AX73)*VLOOKUP("IN-34",'Assumptions &amp; Inputs'!$A$31:$F$69,4,FALSE),0),0)</f>
        <v>18126</v>
      </c>
      <c r="BZ73" s="4">
        <f>IF(BP73=1,((AK73+(IF(R73="IN-07",'Assumptions &amp; Inputs'!$E$66,AH73))*AN73)*AS73)+AY73+(((AK73+(IF(R73="IN-07",'Assumptions &amp; Inputs'!$E$66,AH73))*AN73)*AS73)*AZ73)+IF(BD73="Yes",(((AK73+(IF(R73="IN-07",'Assumptions &amp; Inputs'!$E$66,AH73))*AN73)*AS73)+AY73)*VLOOKUP("IN-34",'Assumptions &amp; Inputs'!$A$31:$F$69,5,FALSE),0),0)</f>
        <v>59850</v>
      </c>
      <c r="CA73" s="4">
        <f>IF(BQ73=1,((AI73+(IF(R73="IN-07",'Assumptions &amp; Inputs'!$C$65,AF73))*AL73)*AS73)+AW73+(((AI73+(IF(R73="IN-07",'Assumptions &amp; Inputs'!$C$65,AF73))*AL73)*AS73)*AZ73)+IF(BD73="Yes",(((AI73+(IF(R73="IN-07",'Assumptions &amp; Inputs'!$C$65,AF73))*AL73)*AS73)+AW73)*VLOOKUP("IN-34",'Assumptions &amp; Inputs'!$A$31:$F$69,3,FALSE),0),0)</f>
        <v>6669</v>
      </c>
      <c r="CB73" s="4">
        <f>IF(BQ73=1,((AJ73+(IF(R73="IN-07",'Assumptions &amp; Inputs'!$D$65,AG73))*AM73)*AS73)+AX73+(((AJ73+(IF(R73="IN-07",'Assumptions &amp; Inputs'!$D$65,AG73))*AM73)*AS73)*AZ73)+IF(BD73="Yes",(((AJ73+(IF(R73="IN-07",'Assumptions &amp; Inputs'!$D$65,AG73))*AM73)*AS73)+AX73)*VLOOKUP("IN-34",'Assumptions &amp; Inputs'!$A$31:$F$69,4,FALSE),0),0)</f>
        <v>18126</v>
      </c>
      <c r="CC73" s="4">
        <f>IF(BQ73=1,((AK73+(IF(R73="IN-07",'Assumptions &amp; Inputs'!$E$65,AH73))*AN73)*AS73)+AY73+(((AK73+(IF(R73="IN-07",'Assumptions &amp; Inputs'!$E$65,AH73))*AN73)*AS73)*AZ73)+IF(BD73="Yes",(((AK73+(IF(R73="IN-07",'Assumptions &amp; Inputs'!$E$65,AH73))*AN73)*AS73)+AY73)*VLOOKUP("IN-34",'Assumptions &amp; Inputs'!$A$31:$F$69,5,FALSE),0),0)</f>
        <v>59850</v>
      </c>
      <c r="CD73" s="4">
        <f>IF(BR73=1,((AI73+(IF(R73="IN-07",'Assumptions &amp; Inputs'!$C$65,AF73))*AL73)*AS73)+AW73+(((AI73+(IF(R73="IN-07",'Assumptions &amp; Inputs'!$C$65,AF73))*AL73)*AS73)*AZ73)+IF(BD73="Yes",(((AI73+(IF(R73="IN-07",'Assumptions &amp; Inputs'!$C$65,AF73))*AL73)*AS73)+AW73)*VLOOKUP("IN-34",'Assumptions &amp; Inputs'!$A$31:$F$69,3,FALSE),0),0)</f>
        <v>6669</v>
      </c>
      <c r="CE73" s="4">
        <f>IF(BR73=1,((AJ73+(IF(R73="IN-07",'Assumptions &amp; Inputs'!$D$65,AG73))*AM73)*AS73)+AX73+(((AJ73+(IF(R73="IN-07",'Assumptions &amp; Inputs'!$D$65,AG73))*AM73)*AS73)*AZ73)+IF(BD73="Yes",(((AJ73+(IF(R73="IN-07",'Assumptions &amp; Inputs'!$D$65,AG73))*AM73)*AS73)+AX73)*VLOOKUP("IN-34",'Assumptions &amp; Inputs'!$A$31:$F$69,4,FALSE),0),0)</f>
        <v>18126</v>
      </c>
      <c r="CF73" s="4">
        <f>IF(BR73=1,((AK73+(IF(R73="IN-07",'Assumptions &amp; Inputs'!$E$65,AH73))*AN73)*AS73)+AY73+(((AK73+(IF(R73="IN-07",'Assumptions &amp; Inputs'!$E$65,AH73))*AN73)*AS73)*AZ73)+IF(BD73="Yes",(((AK73+(IF(R73="IN-07",'Assumptions &amp; Inputs'!$E$65,AH73))*AN73)*AS73)+AY73)*VLOOKUP("IN-34",'Assumptions &amp; Inputs'!$A$31:$F$69,5,FALSE),0),0)</f>
        <v>59850</v>
      </c>
      <c r="CG73" s="4">
        <f>IF(BS73=1,((AI73+(IF(R73="IN-07",0,AF73))*AL73)*AS73)+AW73+(((AI73+(IF(R73="IN-07",0,AF73))*AL73)*AS73)*AZ73)+IF(BD73="Yes",(((AI73+(IF(R73="IN-07",0,AF73))*AL73)*AS73)+AW73)*VLOOKUP("IN-34",'Assumptions &amp; Inputs'!$A$31:$F$69,3,FALSE),0),0)</f>
        <v>6669</v>
      </c>
      <c r="CH73" s="4">
        <f>IF(BS73=1,((AJ73+(IF(R73="IN-07",0,AG73))*AM73)*AS73)+AX73+(((AJ73+(IF(R73="IN-07",0,AG73))*AM73)*AS73)*AZ73)+IF(BD73="Yes",(((AJ73+(IF(R73="IN-07",0,AG73))*AM73)*AS73)+AX73)*VLOOKUP("IN-34",'Assumptions &amp; Inputs'!$A$31:$F$69,4,FALSE),0),0)</f>
        <v>18126</v>
      </c>
      <c r="CI73" s="4">
        <f>IF(BS73=1,((AK73+(IF(R73="IN-07",0,AH73))*AN73)*AS73)+AY73+(((AK73+(IF(R73="IN-07",0,AH73))*AN73)*AS73)*AZ73)+IF(BD73="Yes",(((AK73+(IF(R73="IN-07",0,AH73))*AN73)*AS73)+AY73)*VLOOKUP("IN-34",'Assumptions &amp; Inputs'!$A$31:$F$69,5,FALSE),0),0)</f>
        <v>59850</v>
      </c>
      <c r="CJ73" s="4">
        <f>IF(BT73=1,((AI73+(IF(R73="IN-07",0,AF73))*AL73)*AS73)+AW73+(((AI73+(IF(R73="IN-07",0,AF73))*AL73)*AS73)*AZ73)+IF(BD73="Yes",(((AI73+(IF(R73="IN-07",0,AF73))*AL73)*AS73)+AW73)*VLOOKUP("IN-34",'Assumptions &amp; Inputs'!$A$31:$F$69,3,FALSE),0),0)</f>
        <v>6669</v>
      </c>
      <c r="CK73" s="4">
        <f>IF(BT73=1,((AJ73+(IF(R73="IN-07",0,AG73))*AM73)*AS73)+AX73+(((AJ73+(IF(R73="IN-07",0,AG73))*AM73)*AS73)*AZ73)+IF(BD73="Yes",(((AJ73+(IF(R73="IN-07",0,AG73))*AM73)*AS73)+AX73)*VLOOKUP("IN-34",'Assumptions &amp; Inputs'!$A$31:$F$69,4,FALSE),0),0)</f>
        <v>18126</v>
      </c>
      <c r="CL73" s="4">
        <f>IF(BT73=1,((AK73+(IF(R73="IN-07",0,AH73))*AN73)*AS73)+AY73+(((AK73+(IF(R73="IN-07",0,AH73))*AN73)*AS73)*AZ73)+IF(BD73="Yes",(((AK73+(IF(R73="IN-07",0,AH73))*AN73)*AS73)+AY73)*VLOOKUP("IN-34",'Assumptions &amp; Inputs'!$A$31:$F$69,5,FALSE),0),0)</f>
        <v>59850</v>
      </c>
    </row>
    <row r="74" spans="1:90" ht="43.5" x14ac:dyDescent="0.35">
      <c r="A74" s="1" t="s">
        <v>1374</v>
      </c>
      <c r="B74" s="1" t="s">
        <v>1375</v>
      </c>
      <c r="C74" s="1" t="s">
        <v>50</v>
      </c>
      <c r="D74" s="1" t="s">
        <v>58</v>
      </c>
      <c r="E74" s="1" t="s">
        <v>1376</v>
      </c>
      <c r="F74" s="1" t="s">
        <v>1377</v>
      </c>
      <c r="G74" s="1" t="s">
        <v>1378</v>
      </c>
      <c r="H74" s="1" t="s">
        <v>1379</v>
      </c>
      <c r="I74" s="1" t="s">
        <v>1265</v>
      </c>
      <c r="J74" s="1" t="s">
        <v>1380</v>
      </c>
      <c r="K74" s="1" t="s">
        <v>1292</v>
      </c>
      <c r="L74" s="1" t="s">
        <v>1265</v>
      </c>
      <c r="M74" s="1" t="s">
        <v>532</v>
      </c>
      <c r="N74" s="1" t="s">
        <v>156</v>
      </c>
      <c r="O74" s="1" t="s">
        <v>533</v>
      </c>
      <c r="P74" s="1" t="s">
        <v>556</v>
      </c>
      <c r="Q74" s="1" t="s">
        <v>1381</v>
      </c>
      <c r="R74" s="1" t="s">
        <v>368</v>
      </c>
      <c r="S74" s="1" t="s">
        <v>558</v>
      </c>
      <c r="T74" s="1" t="s">
        <v>1269</v>
      </c>
      <c r="U74" s="1" t="s">
        <v>1382</v>
      </c>
      <c r="V74" s="1" t="s">
        <v>1271</v>
      </c>
      <c r="W74" s="1" t="s">
        <v>993</v>
      </c>
      <c r="X74" s="1" t="s">
        <v>1383</v>
      </c>
      <c r="Y74" s="1" t="s">
        <v>205</v>
      </c>
      <c r="Z74" s="1" t="s">
        <v>763</v>
      </c>
      <c r="AA74" s="1" t="s">
        <v>764</v>
      </c>
      <c r="AB74" s="1" t="s">
        <v>545</v>
      </c>
      <c r="AC74" s="1" t="s">
        <v>1229</v>
      </c>
      <c r="AD74" s="1" t="s">
        <v>766</v>
      </c>
      <c r="AE74" s="22">
        <f>IF(ISNUMBER(SEARCH('Scenario Definitions'!$C$5,N74)),1,0)</f>
        <v>1</v>
      </c>
      <c r="AF74" s="22">
        <f>IFERROR(VLOOKUP(R74,'Assumptions &amp; Inputs'!$A$31:$F$69,3,FALSE),0)</f>
        <v>36</v>
      </c>
      <c r="AG74" s="22">
        <f>IFERROR(VLOOKUP(R74,'Assumptions &amp; Inputs'!$A$31:$F$69,4,FALSE),0)</f>
        <v>108</v>
      </c>
      <c r="AH74" s="23">
        <f>IFERROR(VLOOKUP(R74,'Assumptions &amp; Inputs'!$A$31:$F$69,5,FALSE),0)</f>
        <v>225</v>
      </c>
      <c r="AI74" s="11">
        <v>0</v>
      </c>
      <c r="AJ74" s="11">
        <v>0</v>
      </c>
      <c r="AK74" s="11">
        <v>0</v>
      </c>
      <c r="AL74" s="11">
        <v>3</v>
      </c>
      <c r="AM74" s="11">
        <v>4</v>
      </c>
      <c r="AN74" s="11">
        <v>6</v>
      </c>
      <c r="AO74" s="39">
        <f t="shared" si="36"/>
        <v>108</v>
      </c>
      <c r="AP74" s="22">
        <f t="shared" si="37"/>
        <v>432</v>
      </c>
      <c r="AQ74" s="23">
        <f t="shared" si="38"/>
        <v>1350</v>
      </c>
      <c r="AR74" s="58" t="s">
        <v>433</v>
      </c>
      <c r="AS74" s="35">
        <f>IFERROR(VLOOKUP(AR74,'Assumptions &amp; Inputs'!$A$73:$I$100,9,FALSE),0)</f>
        <v>95</v>
      </c>
      <c r="AT74" s="30">
        <f t="shared" si="39"/>
        <v>10260</v>
      </c>
      <c r="AU74" s="30">
        <f t="shared" si="40"/>
        <v>41040</v>
      </c>
      <c r="AV74" s="31">
        <f t="shared" si="41"/>
        <v>128250</v>
      </c>
      <c r="AW74" s="57">
        <v>20000</v>
      </c>
      <c r="AX74" s="57">
        <v>50000</v>
      </c>
      <c r="AY74" s="57">
        <v>120000</v>
      </c>
      <c r="AZ74" s="35">
        <f>IFERROR(VLOOKUP(C74,'Assumptions &amp; Inputs'!$A$104:$B$107,2,FALSE),0)</f>
        <v>0.25</v>
      </c>
      <c r="BA74" s="30">
        <f t="shared" si="42"/>
        <v>2565</v>
      </c>
      <c r="BB74" s="30">
        <f t="shared" si="43"/>
        <v>10260</v>
      </c>
      <c r="BC74" s="31">
        <f t="shared" si="44"/>
        <v>32062.5</v>
      </c>
      <c r="BD74" s="57" t="s">
        <v>209</v>
      </c>
      <c r="BE74" s="35">
        <f>IF(BD74="Yes",(AT74+AW74)*VLOOKUP("IN-34",'Assumptions &amp; Inputs'!$A$31:$F$69,3,FALSE),0)</f>
        <v>1513</v>
      </c>
      <c r="BF74" s="30">
        <f>IF(BD74="Yes",(AU74+AX74)*VLOOKUP("IN-34",'Assumptions &amp; Inputs'!$A$31:$F$69,4,FALSE),0)</f>
        <v>6828</v>
      </c>
      <c r="BG74" s="30">
        <f>IF(BD74="Yes",(AV74+AY74)*VLOOKUP("IN-34",'Assumptions &amp; Inputs'!$A$31:$F$69,5,FALSE),0)</f>
        <v>37237.5</v>
      </c>
      <c r="BH74" s="30">
        <f t="shared" si="45"/>
        <v>34338</v>
      </c>
      <c r="BI74" s="30">
        <f t="shared" si="46"/>
        <v>108128</v>
      </c>
      <c r="BJ74" s="31">
        <f t="shared" si="47"/>
        <v>317550</v>
      </c>
      <c r="BK74" s="58" t="s">
        <v>548</v>
      </c>
      <c r="BL74" s="58" t="s">
        <v>549</v>
      </c>
      <c r="BM74" s="58" t="s">
        <v>764</v>
      </c>
      <c r="BN74" s="58" t="s">
        <v>550</v>
      </c>
      <c r="BO74" s="5">
        <f t="shared" si="48"/>
        <v>1</v>
      </c>
      <c r="BP74" s="5">
        <f t="shared" si="49"/>
        <v>1</v>
      </c>
      <c r="BQ74" s="5">
        <f t="shared" si="50"/>
        <v>1</v>
      </c>
      <c r="BR74" s="5">
        <f t="shared" si="51"/>
        <v>1</v>
      </c>
      <c r="BS74" s="5">
        <f t="shared" si="52"/>
        <v>1</v>
      </c>
      <c r="BT74" s="5">
        <f t="shared" si="53"/>
        <v>1</v>
      </c>
      <c r="BU74" s="4">
        <f>IF(BO74=1,((AI74+(IF(R74="IN-07",'Assumptions &amp; Inputs'!$C$66,AF74))*AL74)*AS74)+AW74+(((AI74+(IF(R74="IN-07",'Assumptions &amp; Inputs'!$C$66,AF74))*AL74)*AS74)*AZ74)+IF(BD74="Yes",(((AI74+(IF(R74="IN-07",'Assumptions &amp; Inputs'!$C$66,AF74))*AL74)*AS74)+AW74)*VLOOKUP("IN-34",'Assumptions &amp; Inputs'!$A$31:$F$69,3,FALSE),0),0)</f>
        <v>34338</v>
      </c>
      <c r="BV74" s="4">
        <f>IF(BO74=1,((AJ74+(IF(R74="IN-07",'Assumptions &amp; Inputs'!$D$66,AG74))*AM74)*AS74)+AX74+(((AJ74+(IF(R74="IN-07",'Assumptions &amp; Inputs'!$D$66,AG74))*AM74)*AS74)*AZ74)+IF(BD74="Yes",(((AJ74+(IF(R74="IN-07",'Assumptions &amp; Inputs'!$D$66,AG74))*AM74)*AS74)+AX74)*VLOOKUP("IN-34",'Assumptions &amp; Inputs'!$A$31:$F$69,4,FALSE),0),0)</f>
        <v>108128</v>
      </c>
      <c r="BW74" s="4">
        <f>IF(BO74=1,((AK74+(IF(R74="IN-07",'Assumptions &amp; Inputs'!$E$66,AH74))*AN74)*AS74)+AY74+(((AK74+(IF(R74="IN-07",'Assumptions &amp; Inputs'!$E$66,AH74))*AN74)*AS74)*AZ74)+IF(BD74="Yes",(((AK74+(IF(R74="IN-07",'Assumptions &amp; Inputs'!$E$66,AH74))*AN74)*AS74)+AY74)*VLOOKUP("IN-34",'Assumptions &amp; Inputs'!$A$31:$F$69,5,FALSE),0),0)</f>
        <v>317550</v>
      </c>
      <c r="BX74" s="4">
        <f>IF(BP74=1,((AI74+(IF(R74="IN-07",'Assumptions &amp; Inputs'!$C$66,AF74))*AL74)*AS74)+AW74+(((AI74+(IF(R74="IN-07",'Assumptions &amp; Inputs'!$C$66,AF74))*AL74)*AS74)*AZ74)+IF(BD74="Yes",(((AI74+(IF(R74="IN-07",'Assumptions &amp; Inputs'!$C$66,AF74))*AL74)*AS74)+AW74)*VLOOKUP("IN-34",'Assumptions &amp; Inputs'!$A$31:$F$69,3,FALSE),0),0)</f>
        <v>34338</v>
      </c>
      <c r="BY74" s="4">
        <f>IF(BP74=1,((AJ74+(IF(R74="IN-07",'Assumptions &amp; Inputs'!$D$66,AG74))*AM74)*AS74)+AX74+(((AJ74+(IF(R74="IN-07",'Assumptions &amp; Inputs'!$D$66,AG74))*AM74)*AS74)*AZ74)+IF(BD74="Yes",(((AJ74+(IF(R74="IN-07",'Assumptions &amp; Inputs'!$D$66,AG74))*AM74)*AS74)+AX74)*VLOOKUP("IN-34",'Assumptions &amp; Inputs'!$A$31:$F$69,4,FALSE),0),0)</f>
        <v>108128</v>
      </c>
      <c r="BZ74" s="4">
        <f>IF(BP74=1,((AK74+(IF(R74="IN-07",'Assumptions &amp; Inputs'!$E$66,AH74))*AN74)*AS74)+AY74+(((AK74+(IF(R74="IN-07",'Assumptions &amp; Inputs'!$E$66,AH74))*AN74)*AS74)*AZ74)+IF(BD74="Yes",(((AK74+(IF(R74="IN-07",'Assumptions &amp; Inputs'!$E$66,AH74))*AN74)*AS74)+AY74)*VLOOKUP("IN-34",'Assumptions &amp; Inputs'!$A$31:$F$69,5,FALSE),0),0)</f>
        <v>317550</v>
      </c>
      <c r="CA74" s="4">
        <f>IF(BQ74=1,((AI74+(IF(R74="IN-07",'Assumptions &amp; Inputs'!$C$65,AF74))*AL74)*AS74)+AW74+(((AI74+(IF(R74="IN-07",'Assumptions &amp; Inputs'!$C$65,AF74))*AL74)*AS74)*AZ74)+IF(BD74="Yes",(((AI74+(IF(R74="IN-07",'Assumptions &amp; Inputs'!$C$65,AF74))*AL74)*AS74)+AW74)*VLOOKUP("IN-34",'Assumptions &amp; Inputs'!$A$31:$F$69,3,FALSE),0),0)</f>
        <v>34338</v>
      </c>
      <c r="CB74" s="4">
        <f>IF(BQ74=1,((AJ74+(IF(R74="IN-07",'Assumptions &amp; Inputs'!$D$65,AG74))*AM74)*AS74)+AX74+(((AJ74+(IF(R74="IN-07",'Assumptions &amp; Inputs'!$D$65,AG74))*AM74)*AS74)*AZ74)+IF(BD74="Yes",(((AJ74+(IF(R74="IN-07",'Assumptions &amp; Inputs'!$D$65,AG74))*AM74)*AS74)+AX74)*VLOOKUP("IN-34",'Assumptions &amp; Inputs'!$A$31:$F$69,4,FALSE),0),0)</f>
        <v>108128</v>
      </c>
      <c r="CC74" s="4">
        <f>IF(BQ74=1,((AK74+(IF(R74="IN-07",'Assumptions &amp; Inputs'!$E$65,AH74))*AN74)*AS74)+AY74+(((AK74+(IF(R74="IN-07",'Assumptions &amp; Inputs'!$E$65,AH74))*AN74)*AS74)*AZ74)+IF(BD74="Yes",(((AK74+(IF(R74="IN-07",'Assumptions &amp; Inputs'!$E$65,AH74))*AN74)*AS74)+AY74)*VLOOKUP("IN-34",'Assumptions &amp; Inputs'!$A$31:$F$69,5,FALSE),0),0)</f>
        <v>317550</v>
      </c>
      <c r="CD74" s="4">
        <f>IF(BR74=1,((AI74+(IF(R74="IN-07",'Assumptions &amp; Inputs'!$C$65,AF74))*AL74)*AS74)+AW74+(((AI74+(IF(R74="IN-07",'Assumptions &amp; Inputs'!$C$65,AF74))*AL74)*AS74)*AZ74)+IF(BD74="Yes",(((AI74+(IF(R74="IN-07",'Assumptions &amp; Inputs'!$C$65,AF74))*AL74)*AS74)+AW74)*VLOOKUP("IN-34",'Assumptions &amp; Inputs'!$A$31:$F$69,3,FALSE),0),0)</f>
        <v>34338</v>
      </c>
      <c r="CE74" s="4">
        <f>IF(BR74=1,((AJ74+(IF(R74="IN-07",'Assumptions &amp; Inputs'!$D$65,AG74))*AM74)*AS74)+AX74+(((AJ74+(IF(R74="IN-07",'Assumptions &amp; Inputs'!$D$65,AG74))*AM74)*AS74)*AZ74)+IF(BD74="Yes",(((AJ74+(IF(R74="IN-07",'Assumptions &amp; Inputs'!$D$65,AG74))*AM74)*AS74)+AX74)*VLOOKUP("IN-34",'Assumptions &amp; Inputs'!$A$31:$F$69,4,FALSE),0),0)</f>
        <v>108128</v>
      </c>
      <c r="CF74" s="4">
        <f>IF(BR74=1,((AK74+(IF(R74="IN-07",'Assumptions &amp; Inputs'!$E$65,AH74))*AN74)*AS74)+AY74+(((AK74+(IF(R74="IN-07",'Assumptions &amp; Inputs'!$E$65,AH74))*AN74)*AS74)*AZ74)+IF(BD74="Yes",(((AK74+(IF(R74="IN-07",'Assumptions &amp; Inputs'!$E$65,AH74))*AN74)*AS74)+AY74)*VLOOKUP("IN-34",'Assumptions &amp; Inputs'!$A$31:$F$69,5,FALSE),0),0)</f>
        <v>317550</v>
      </c>
      <c r="CG74" s="4">
        <f>IF(BS74=1,((AI74+(IF(R74="IN-07",0,AF74))*AL74)*AS74)+AW74+(((AI74+(IF(R74="IN-07",0,AF74))*AL74)*AS74)*AZ74)+IF(BD74="Yes",(((AI74+(IF(R74="IN-07",0,AF74))*AL74)*AS74)+AW74)*VLOOKUP("IN-34",'Assumptions &amp; Inputs'!$A$31:$F$69,3,FALSE),0),0)</f>
        <v>34338</v>
      </c>
      <c r="CH74" s="4">
        <f>IF(BS74=1,((AJ74+(IF(R74="IN-07",0,AG74))*AM74)*AS74)+AX74+(((AJ74+(IF(R74="IN-07",0,AG74))*AM74)*AS74)*AZ74)+IF(BD74="Yes",(((AJ74+(IF(R74="IN-07",0,AG74))*AM74)*AS74)+AX74)*VLOOKUP("IN-34",'Assumptions &amp; Inputs'!$A$31:$F$69,4,FALSE),0),0)</f>
        <v>108128</v>
      </c>
      <c r="CI74" s="4">
        <f>IF(BS74=1,((AK74+(IF(R74="IN-07",0,AH74))*AN74)*AS74)+AY74+(((AK74+(IF(R74="IN-07",0,AH74))*AN74)*AS74)*AZ74)+IF(BD74="Yes",(((AK74+(IF(R74="IN-07",0,AH74))*AN74)*AS74)+AY74)*VLOOKUP("IN-34",'Assumptions &amp; Inputs'!$A$31:$F$69,5,FALSE),0),0)</f>
        <v>317550</v>
      </c>
      <c r="CJ74" s="4">
        <f>IF(BT74=1,((AI74+(IF(R74="IN-07",0,AF74))*AL74)*AS74)+AW74+(((AI74+(IF(R74="IN-07",0,AF74))*AL74)*AS74)*AZ74)+IF(BD74="Yes",(((AI74+(IF(R74="IN-07",0,AF74))*AL74)*AS74)+AW74)*VLOOKUP("IN-34",'Assumptions &amp; Inputs'!$A$31:$F$69,3,FALSE),0),0)</f>
        <v>34338</v>
      </c>
      <c r="CK74" s="4">
        <f>IF(BT74=1,((AJ74+(IF(R74="IN-07",0,AG74))*AM74)*AS74)+AX74+(((AJ74+(IF(R74="IN-07",0,AG74))*AM74)*AS74)*AZ74)+IF(BD74="Yes",(((AJ74+(IF(R74="IN-07",0,AG74))*AM74)*AS74)+AX74)*VLOOKUP("IN-34",'Assumptions &amp; Inputs'!$A$31:$F$69,4,FALSE),0),0)</f>
        <v>108128</v>
      </c>
      <c r="CL74" s="4">
        <f>IF(BT74=1,((AK74+(IF(R74="IN-07",0,AH74))*AN74)*AS74)+AY74+(((AK74+(IF(R74="IN-07",0,AH74))*AN74)*AS74)*AZ74)+IF(BD74="Yes",(((AK74+(IF(R74="IN-07",0,AH74))*AN74)*AS74)+AY74)*VLOOKUP("IN-34",'Assumptions &amp; Inputs'!$A$31:$F$69,5,FALSE),0),0)</f>
        <v>317550</v>
      </c>
    </row>
    <row r="75" spans="1:90" ht="43.5" x14ac:dyDescent="0.35">
      <c r="A75" s="1" t="s">
        <v>1384</v>
      </c>
      <c r="B75" s="1" t="s">
        <v>1385</v>
      </c>
      <c r="C75" s="1" t="s">
        <v>50</v>
      </c>
      <c r="D75" s="1" t="s">
        <v>58</v>
      </c>
      <c r="E75" s="1" t="s">
        <v>1386</v>
      </c>
      <c r="F75" s="1" t="s">
        <v>1387</v>
      </c>
      <c r="G75" s="1" t="s">
        <v>1388</v>
      </c>
      <c r="H75" s="1" t="s">
        <v>1389</v>
      </c>
      <c r="I75" s="1" t="s">
        <v>1265</v>
      </c>
      <c r="J75" s="1" t="s">
        <v>1302</v>
      </c>
      <c r="K75" s="1" t="s">
        <v>1313</v>
      </c>
      <c r="L75" s="1" t="s">
        <v>1265</v>
      </c>
      <c r="M75" s="1" t="s">
        <v>532</v>
      </c>
      <c r="N75" s="1" t="s">
        <v>156</v>
      </c>
      <c r="O75" s="1" t="s">
        <v>533</v>
      </c>
      <c r="P75" s="1" t="s">
        <v>556</v>
      </c>
      <c r="Q75" s="1" t="s">
        <v>774</v>
      </c>
      <c r="R75" s="1" t="s">
        <v>343</v>
      </c>
      <c r="S75" s="1" t="s">
        <v>568</v>
      </c>
      <c r="T75" s="1" t="s">
        <v>1149</v>
      </c>
      <c r="U75" s="1" t="s">
        <v>1390</v>
      </c>
      <c r="V75" s="1" t="s">
        <v>1271</v>
      </c>
      <c r="W75" s="1" t="s">
        <v>1391</v>
      </c>
      <c r="X75" s="1" t="s">
        <v>1392</v>
      </c>
      <c r="Y75" s="1" t="s">
        <v>171</v>
      </c>
      <c r="Z75" s="1" t="s">
        <v>543</v>
      </c>
      <c r="AA75" s="1" t="s">
        <v>1274</v>
      </c>
      <c r="AB75" s="1" t="s">
        <v>545</v>
      </c>
      <c r="AC75" s="1" t="s">
        <v>1393</v>
      </c>
      <c r="AD75" s="1" t="s">
        <v>722</v>
      </c>
      <c r="AE75" s="22">
        <f>IF(ISNUMBER(SEARCH('Scenario Definitions'!$C$5,N75)),1,0)</f>
        <v>1</v>
      </c>
      <c r="AF75" s="22">
        <f>IFERROR(VLOOKUP(R75,'Assumptions &amp; Inputs'!$A$31:$F$69,3,FALSE),0)</f>
        <v>9</v>
      </c>
      <c r="AG75" s="22">
        <f>IFERROR(VLOOKUP(R75,'Assumptions &amp; Inputs'!$A$31:$F$69,4,FALSE),0)</f>
        <v>12</v>
      </c>
      <c r="AH75" s="23">
        <f>IFERROR(VLOOKUP(R75,'Assumptions &amp; Inputs'!$A$31:$F$69,5,FALSE),0)</f>
        <v>18</v>
      </c>
      <c r="AI75" s="11">
        <v>0</v>
      </c>
      <c r="AJ75" s="11">
        <v>0</v>
      </c>
      <c r="AK75" s="11">
        <v>0</v>
      </c>
      <c r="AL75" s="11">
        <v>6</v>
      </c>
      <c r="AM75" s="11">
        <v>8</v>
      </c>
      <c r="AN75" s="11">
        <v>12</v>
      </c>
      <c r="AO75" s="39">
        <f t="shared" si="36"/>
        <v>54</v>
      </c>
      <c r="AP75" s="22">
        <f t="shared" si="37"/>
        <v>96</v>
      </c>
      <c r="AQ75" s="23">
        <f t="shared" si="38"/>
        <v>216</v>
      </c>
      <c r="AR75" s="58" t="s">
        <v>431</v>
      </c>
      <c r="AS75" s="35">
        <f>IFERROR(VLOOKUP(AR75,'Assumptions &amp; Inputs'!$A$73:$I$100,9,FALSE),0)</f>
        <v>125</v>
      </c>
      <c r="AT75" s="30">
        <f t="shared" si="39"/>
        <v>6750</v>
      </c>
      <c r="AU75" s="30">
        <f t="shared" si="40"/>
        <v>12000</v>
      </c>
      <c r="AV75" s="31">
        <f t="shared" si="41"/>
        <v>27000</v>
      </c>
      <c r="AW75" s="57">
        <v>0</v>
      </c>
      <c r="AX75" s="57">
        <v>0</v>
      </c>
      <c r="AY75" s="57">
        <v>0</v>
      </c>
      <c r="AZ75" s="35">
        <f>IFERROR(VLOOKUP(C75,'Assumptions &amp; Inputs'!$A$104:$B$107,2,FALSE),0)</f>
        <v>0.25</v>
      </c>
      <c r="BA75" s="30">
        <f t="shared" si="42"/>
        <v>1687.5</v>
      </c>
      <c r="BB75" s="30">
        <f t="shared" si="43"/>
        <v>3000</v>
      </c>
      <c r="BC75" s="31">
        <f t="shared" si="44"/>
        <v>6750</v>
      </c>
      <c r="BD75" s="57" t="s">
        <v>209</v>
      </c>
      <c r="BE75" s="35">
        <f>IF(BD75="Yes",(AT75+AW75)*VLOOKUP("IN-34",'Assumptions &amp; Inputs'!$A$31:$F$69,3,FALSE),0)</f>
        <v>337.5</v>
      </c>
      <c r="BF75" s="30">
        <f>IF(BD75="Yes",(AU75+AX75)*VLOOKUP("IN-34",'Assumptions &amp; Inputs'!$A$31:$F$69,4,FALSE),0)</f>
        <v>900</v>
      </c>
      <c r="BG75" s="30">
        <f>IF(BD75="Yes",(AV75+AY75)*VLOOKUP("IN-34",'Assumptions &amp; Inputs'!$A$31:$F$69,5,FALSE),0)</f>
        <v>4050</v>
      </c>
      <c r="BH75" s="30">
        <f t="shared" si="45"/>
        <v>8775</v>
      </c>
      <c r="BI75" s="30">
        <f t="shared" si="46"/>
        <v>15900</v>
      </c>
      <c r="BJ75" s="31">
        <f t="shared" si="47"/>
        <v>37800</v>
      </c>
      <c r="BK75" s="58" t="s">
        <v>548</v>
      </c>
      <c r="BL75" s="58" t="s">
        <v>549</v>
      </c>
      <c r="BM75" s="58" t="s">
        <v>1274</v>
      </c>
      <c r="BN75" s="58" t="s">
        <v>550</v>
      </c>
      <c r="BO75" s="5">
        <f t="shared" si="48"/>
        <v>1</v>
      </c>
      <c r="BP75" s="5">
        <f t="shared" si="49"/>
        <v>1</v>
      </c>
      <c r="BQ75" s="5">
        <f t="shared" si="50"/>
        <v>1</v>
      </c>
      <c r="BR75" s="5">
        <f t="shared" si="51"/>
        <v>1</v>
      </c>
      <c r="BS75" s="5">
        <f t="shared" si="52"/>
        <v>1</v>
      </c>
      <c r="BT75" s="5">
        <f t="shared" si="53"/>
        <v>1</v>
      </c>
      <c r="BU75" s="4">
        <f>IF(BO75=1,((AI75+(IF(R75="IN-07",'Assumptions &amp; Inputs'!$C$66,AF75))*AL75)*AS75)+AW75+(((AI75+(IF(R75="IN-07",'Assumptions &amp; Inputs'!$C$66,AF75))*AL75)*AS75)*AZ75)+IF(BD75="Yes",(((AI75+(IF(R75="IN-07",'Assumptions &amp; Inputs'!$C$66,AF75))*AL75)*AS75)+AW75)*VLOOKUP("IN-34",'Assumptions &amp; Inputs'!$A$31:$F$69,3,FALSE),0),0)</f>
        <v>8775</v>
      </c>
      <c r="BV75" s="4">
        <f>IF(BO75=1,((AJ75+(IF(R75="IN-07",'Assumptions &amp; Inputs'!$D$66,AG75))*AM75)*AS75)+AX75+(((AJ75+(IF(R75="IN-07",'Assumptions &amp; Inputs'!$D$66,AG75))*AM75)*AS75)*AZ75)+IF(BD75="Yes",(((AJ75+(IF(R75="IN-07",'Assumptions &amp; Inputs'!$D$66,AG75))*AM75)*AS75)+AX75)*VLOOKUP("IN-34",'Assumptions &amp; Inputs'!$A$31:$F$69,4,FALSE),0),0)</f>
        <v>15900</v>
      </c>
      <c r="BW75" s="4">
        <f>IF(BO75=1,((AK75+(IF(R75="IN-07",'Assumptions &amp; Inputs'!$E$66,AH75))*AN75)*AS75)+AY75+(((AK75+(IF(R75="IN-07",'Assumptions &amp; Inputs'!$E$66,AH75))*AN75)*AS75)*AZ75)+IF(BD75="Yes",(((AK75+(IF(R75="IN-07",'Assumptions &amp; Inputs'!$E$66,AH75))*AN75)*AS75)+AY75)*VLOOKUP("IN-34",'Assumptions &amp; Inputs'!$A$31:$F$69,5,FALSE),0),0)</f>
        <v>37800</v>
      </c>
      <c r="BX75" s="4">
        <f>IF(BP75=1,((AI75+(IF(R75="IN-07",'Assumptions &amp; Inputs'!$C$66,AF75))*AL75)*AS75)+AW75+(((AI75+(IF(R75="IN-07",'Assumptions &amp; Inputs'!$C$66,AF75))*AL75)*AS75)*AZ75)+IF(BD75="Yes",(((AI75+(IF(R75="IN-07",'Assumptions &amp; Inputs'!$C$66,AF75))*AL75)*AS75)+AW75)*VLOOKUP("IN-34",'Assumptions &amp; Inputs'!$A$31:$F$69,3,FALSE),0),0)</f>
        <v>8775</v>
      </c>
      <c r="BY75" s="4">
        <f>IF(BP75=1,((AJ75+(IF(R75="IN-07",'Assumptions &amp; Inputs'!$D$66,AG75))*AM75)*AS75)+AX75+(((AJ75+(IF(R75="IN-07",'Assumptions &amp; Inputs'!$D$66,AG75))*AM75)*AS75)*AZ75)+IF(BD75="Yes",(((AJ75+(IF(R75="IN-07",'Assumptions &amp; Inputs'!$D$66,AG75))*AM75)*AS75)+AX75)*VLOOKUP("IN-34",'Assumptions &amp; Inputs'!$A$31:$F$69,4,FALSE),0),0)</f>
        <v>15900</v>
      </c>
      <c r="BZ75" s="4">
        <f>IF(BP75=1,((AK75+(IF(R75="IN-07",'Assumptions &amp; Inputs'!$E$66,AH75))*AN75)*AS75)+AY75+(((AK75+(IF(R75="IN-07",'Assumptions &amp; Inputs'!$E$66,AH75))*AN75)*AS75)*AZ75)+IF(BD75="Yes",(((AK75+(IF(R75="IN-07",'Assumptions &amp; Inputs'!$E$66,AH75))*AN75)*AS75)+AY75)*VLOOKUP("IN-34",'Assumptions &amp; Inputs'!$A$31:$F$69,5,FALSE),0),0)</f>
        <v>37800</v>
      </c>
      <c r="CA75" s="4">
        <f>IF(BQ75=1,((AI75+(IF(R75="IN-07",'Assumptions &amp; Inputs'!$C$65,AF75))*AL75)*AS75)+AW75+(((AI75+(IF(R75="IN-07",'Assumptions &amp; Inputs'!$C$65,AF75))*AL75)*AS75)*AZ75)+IF(BD75="Yes",(((AI75+(IF(R75="IN-07",'Assumptions &amp; Inputs'!$C$65,AF75))*AL75)*AS75)+AW75)*VLOOKUP("IN-34",'Assumptions &amp; Inputs'!$A$31:$F$69,3,FALSE),0),0)</f>
        <v>8775</v>
      </c>
      <c r="CB75" s="4">
        <f>IF(BQ75=1,((AJ75+(IF(R75="IN-07",'Assumptions &amp; Inputs'!$D$65,AG75))*AM75)*AS75)+AX75+(((AJ75+(IF(R75="IN-07",'Assumptions &amp; Inputs'!$D$65,AG75))*AM75)*AS75)*AZ75)+IF(BD75="Yes",(((AJ75+(IF(R75="IN-07",'Assumptions &amp; Inputs'!$D$65,AG75))*AM75)*AS75)+AX75)*VLOOKUP("IN-34",'Assumptions &amp; Inputs'!$A$31:$F$69,4,FALSE),0),0)</f>
        <v>15900</v>
      </c>
      <c r="CC75" s="4">
        <f>IF(BQ75=1,((AK75+(IF(R75="IN-07",'Assumptions &amp; Inputs'!$E$65,AH75))*AN75)*AS75)+AY75+(((AK75+(IF(R75="IN-07",'Assumptions &amp; Inputs'!$E$65,AH75))*AN75)*AS75)*AZ75)+IF(BD75="Yes",(((AK75+(IF(R75="IN-07",'Assumptions &amp; Inputs'!$E$65,AH75))*AN75)*AS75)+AY75)*VLOOKUP("IN-34",'Assumptions &amp; Inputs'!$A$31:$F$69,5,FALSE),0),0)</f>
        <v>37800</v>
      </c>
      <c r="CD75" s="4">
        <f>IF(BR75=1,((AI75+(IF(R75="IN-07",'Assumptions &amp; Inputs'!$C$65,AF75))*AL75)*AS75)+AW75+(((AI75+(IF(R75="IN-07",'Assumptions &amp; Inputs'!$C$65,AF75))*AL75)*AS75)*AZ75)+IF(BD75="Yes",(((AI75+(IF(R75="IN-07",'Assumptions &amp; Inputs'!$C$65,AF75))*AL75)*AS75)+AW75)*VLOOKUP("IN-34",'Assumptions &amp; Inputs'!$A$31:$F$69,3,FALSE),0),0)</f>
        <v>8775</v>
      </c>
      <c r="CE75" s="4">
        <f>IF(BR75=1,((AJ75+(IF(R75="IN-07",'Assumptions &amp; Inputs'!$D$65,AG75))*AM75)*AS75)+AX75+(((AJ75+(IF(R75="IN-07",'Assumptions &amp; Inputs'!$D$65,AG75))*AM75)*AS75)*AZ75)+IF(BD75="Yes",(((AJ75+(IF(R75="IN-07",'Assumptions &amp; Inputs'!$D$65,AG75))*AM75)*AS75)+AX75)*VLOOKUP("IN-34",'Assumptions &amp; Inputs'!$A$31:$F$69,4,FALSE),0),0)</f>
        <v>15900</v>
      </c>
      <c r="CF75" s="4">
        <f>IF(BR75=1,((AK75+(IF(R75="IN-07",'Assumptions &amp; Inputs'!$E$65,AH75))*AN75)*AS75)+AY75+(((AK75+(IF(R75="IN-07",'Assumptions &amp; Inputs'!$E$65,AH75))*AN75)*AS75)*AZ75)+IF(BD75="Yes",(((AK75+(IF(R75="IN-07",'Assumptions &amp; Inputs'!$E$65,AH75))*AN75)*AS75)+AY75)*VLOOKUP("IN-34",'Assumptions &amp; Inputs'!$A$31:$F$69,5,FALSE),0),0)</f>
        <v>37800</v>
      </c>
      <c r="CG75" s="4">
        <f>IF(BS75=1,((AI75+(IF(R75="IN-07",0,AF75))*AL75)*AS75)+AW75+(((AI75+(IF(R75="IN-07",0,AF75))*AL75)*AS75)*AZ75)+IF(BD75="Yes",(((AI75+(IF(R75="IN-07",0,AF75))*AL75)*AS75)+AW75)*VLOOKUP("IN-34",'Assumptions &amp; Inputs'!$A$31:$F$69,3,FALSE),0),0)</f>
        <v>8775</v>
      </c>
      <c r="CH75" s="4">
        <f>IF(BS75=1,((AJ75+(IF(R75="IN-07",0,AG75))*AM75)*AS75)+AX75+(((AJ75+(IF(R75="IN-07",0,AG75))*AM75)*AS75)*AZ75)+IF(BD75="Yes",(((AJ75+(IF(R75="IN-07",0,AG75))*AM75)*AS75)+AX75)*VLOOKUP("IN-34",'Assumptions &amp; Inputs'!$A$31:$F$69,4,FALSE),0),0)</f>
        <v>15900</v>
      </c>
      <c r="CI75" s="4">
        <f>IF(BS75=1,((AK75+(IF(R75="IN-07",0,AH75))*AN75)*AS75)+AY75+(((AK75+(IF(R75="IN-07",0,AH75))*AN75)*AS75)*AZ75)+IF(BD75="Yes",(((AK75+(IF(R75="IN-07",0,AH75))*AN75)*AS75)+AY75)*VLOOKUP("IN-34",'Assumptions &amp; Inputs'!$A$31:$F$69,5,FALSE),0),0)</f>
        <v>37800</v>
      </c>
      <c r="CJ75" s="4">
        <f>IF(BT75=1,((AI75+(IF(R75="IN-07",0,AF75))*AL75)*AS75)+AW75+(((AI75+(IF(R75="IN-07",0,AF75))*AL75)*AS75)*AZ75)+IF(BD75="Yes",(((AI75+(IF(R75="IN-07",0,AF75))*AL75)*AS75)+AW75)*VLOOKUP("IN-34",'Assumptions &amp; Inputs'!$A$31:$F$69,3,FALSE),0),0)</f>
        <v>8775</v>
      </c>
      <c r="CK75" s="4">
        <f>IF(BT75=1,((AJ75+(IF(R75="IN-07",0,AG75))*AM75)*AS75)+AX75+(((AJ75+(IF(R75="IN-07",0,AG75))*AM75)*AS75)*AZ75)+IF(BD75="Yes",(((AJ75+(IF(R75="IN-07",0,AG75))*AM75)*AS75)+AX75)*VLOOKUP("IN-34",'Assumptions &amp; Inputs'!$A$31:$F$69,4,FALSE),0),0)</f>
        <v>15900</v>
      </c>
      <c r="CL75" s="4">
        <f>IF(BT75=1,((AK75+(IF(R75="IN-07",0,AH75))*AN75)*AS75)+AY75+(((AK75+(IF(R75="IN-07",0,AH75))*AN75)*AS75)*AZ75)+IF(BD75="Yes",(((AK75+(IF(R75="IN-07",0,AH75))*AN75)*AS75)+AY75)*VLOOKUP("IN-34",'Assumptions &amp; Inputs'!$A$31:$F$69,5,FALSE),0),0)</f>
        <v>37800</v>
      </c>
    </row>
    <row r="76" spans="1:90" ht="43.5" x14ac:dyDescent="0.35">
      <c r="A76" s="1" t="s">
        <v>1394</v>
      </c>
      <c r="B76" s="1" t="s">
        <v>1395</v>
      </c>
      <c r="C76" s="1" t="s">
        <v>50</v>
      </c>
      <c r="D76" s="1" t="s">
        <v>59</v>
      </c>
      <c r="E76" s="1" t="s">
        <v>1396</v>
      </c>
      <c r="F76" s="1" t="s">
        <v>1397</v>
      </c>
      <c r="G76" s="1" t="s">
        <v>1398</v>
      </c>
      <c r="H76" s="1" t="s">
        <v>1399</v>
      </c>
      <c r="I76" s="1" t="s">
        <v>158</v>
      </c>
      <c r="J76" s="1" t="s">
        <v>1400</v>
      </c>
      <c r="K76" s="1" t="s">
        <v>1401</v>
      </c>
      <c r="L76" s="1" t="s">
        <v>1265</v>
      </c>
      <c r="M76" s="1" t="s">
        <v>532</v>
      </c>
      <c r="N76" s="1" t="s">
        <v>156</v>
      </c>
      <c r="O76" s="1" t="s">
        <v>533</v>
      </c>
      <c r="P76" s="1" t="s">
        <v>593</v>
      </c>
      <c r="Q76" s="1" t="s">
        <v>1402</v>
      </c>
      <c r="R76" s="1" t="s">
        <v>371</v>
      </c>
      <c r="S76" s="1" t="s">
        <v>717</v>
      </c>
      <c r="T76" s="1" t="s">
        <v>1266</v>
      </c>
      <c r="U76" s="1" t="s">
        <v>1403</v>
      </c>
      <c r="V76" s="1" t="s">
        <v>1271</v>
      </c>
      <c r="W76" s="1" t="s">
        <v>540</v>
      </c>
      <c r="X76" s="1" t="s">
        <v>1092</v>
      </c>
      <c r="Y76" s="1" t="s">
        <v>1102</v>
      </c>
      <c r="Z76" s="1" t="s">
        <v>543</v>
      </c>
      <c r="AA76" s="1" t="s">
        <v>789</v>
      </c>
      <c r="AB76" s="1" t="s">
        <v>545</v>
      </c>
      <c r="AC76" s="1" t="s">
        <v>1250</v>
      </c>
      <c r="AD76" s="1" t="s">
        <v>791</v>
      </c>
      <c r="AE76" s="22">
        <f>IF(ISNUMBER(SEARCH('Scenario Definitions'!$C$5,N76)),1,0)</f>
        <v>1</v>
      </c>
      <c r="AF76" s="22">
        <f>IFERROR(VLOOKUP(R76,'Assumptions &amp; Inputs'!$A$31:$F$69,3,FALSE),0)</f>
        <v>18</v>
      </c>
      <c r="AG76" s="22">
        <f>IFERROR(VLOOKUP(R76,'Assumptions &amp; Inputs'!$A$31:$F$69,4,FALSE),0)</f>
        <v>48</v>
      </c>
      <c r="AH76" s="23">
        <f>IFERROR(VLOOKUP(R76,'Assumptions &amp; Inputs'!$A$31:$F$69,5,FALSE),0)</f>
        <v>150</v>
      </c>
      <c r="AI76" s="11">
        <v>0</v>
      </c>
      <c r="AJ76" s="11">
        <v>0</v>
      </c>
      <c r="AK76" s="11">
        <v>0</v>
      </c>
      <c r="AL76" s="11">
        <v>7.5</v>
      </c>
      <c r="AM76" s="11">
        <v>10</v>
      </c>
      <c r="AN76" s="11">
        <v>15</v>
      </c>
      <c r="AO76" s="39">
        <f t="shared" si="36"/>
        <v>135</v>
      </c>
      <c r="AP76" s="22">
        <f t="shared" si="37"/>
        <v>480</v>
      </c>
      <c r="AQ76" s="23">
        <f t="shared" si="38"/>
        <v>2250</v>
      </c>
      <c r="AR76" s="58" t="s">
        <v>433</v>
      </c>
      <c r="AS76" s="35">
        <f>IFERROR(VLOOKUP(AR76,'Assumptions &amp; Inputs'!$A$73:$I$100,9,FALSE),0)</f>
        <v>95</v>
      </c>
      <c r="AT76" s="30">
        <f t="shared" si="39"/>
        <v>12825</v>
      </c>
      <c r="AU76" s="30">
        <f t="shared" si="40"/>
        <v>45600</v>
      </c>
      <c r="AV76" s="31">
        <f t="shared" si="41"/>
        <v>213750</v>
      </c>
      <c r="AW76" s="57">
        <v>1000</v>
      </c>
      <c r="AX76" s="57">
        <v>3000</v>
      </c>
      <c r="AY76" s="57">
        <v>8000</v>
      </c>
      <c r="AZ76" s="35">
        <f>IFERROR(VLOOKUP(C76,'Assumptions &amp; Inputs'!$A$104:$B$107,2,FALSE),0)</f>
        <v>0.25</v>
      </c>
      <c r="BA76" s="30">
        <f t="shared" si="42"/>
        <v>3206.25</v>
      </c>
      <c r="BB76" s="30">
        <f t="shared" si="43"/>
        <v>11400</v>
      </c>
      <c r="BC76" s="31">
        <f t="shared" si="44"/>
        <v>53437.5</v>
      </c>
      <c r="BD76" s="57" t="s">
        <v>209</v>
      </c>
      <c r="BE76" s="35">
        <f>IF(BD76="Yes",(AT76+AW76)*VLOOKUP("IN-34",'Assumptions &amp; Inputs'!$A$31:$F$69,3,FALSE),0)</f>
        <v>691.25</v>
      </c>
      <c r="BF76" s="30">
        <f>IF(BD76="Yes",(AU76+AX76)*VLOOKUP("IN-34",'Assumptions &amp; Inputs'!$A$31:$F$69,4,FALSE),0)</f>
        <v>3645</v>
      </c>
      <c r="BG76" s="30">
        <f>IF(BD76="Yes",(AV76+AY76)*VLOOKUP("IN-34",'Assumptions &amp; Inputs'!$A$31:$F$69,5,FALSE),0)</f>
        <v>33262.5</v>
      </c>
      <c r="BH76" s="30">
        <f t="shared" si="45"/>
        <v>17722.5</v>
      </c>
      <c r="BI76" s="30">
        <f t="shared" si="46"/>
        <v>63645</v>
      </c>
      <c r="BJ76" s="31">
        <f t="shared" si="47"/>
        <v>308450</v>
      </c>
      <c r="BK76" s="58" t="s">
        <v>548</v>
      </c>
      <c r="BL76" s="58" t="s">
        <v>549</v>
      </c>
      <c r="BM76" s="58" t="s">
        <v>789</v>
      </c>
      <c r="BN76" s="58" t="s">
        <v>550</v>
      </c>
      <c r="BO76" s="5">
        <f t="shared" si="48"/>
        <v>1</v>
      </c>
      <c r="BP76" s="5">
        <f t="shared" si="49"/>
        <v>1</v>
      </c>
      <c r="BQ76" s="5">
        <f t="shared" si="50"/>
        <v>1</v>
      </c>
      <c r="BR76" s="5">
        <f t="shared" si="51"/>
        <v>1</v>
      </c>
      <c r="BS76" s="5">
        <f t="shared" si="52"/>
        <v>1</v>
      </c>
      <c r="BT76" s="5">
        <f t="shared" si="53"/>
        <v>1</v>
      </c>
      <c r="BU76" s="4">
        <f>IF(BO76=1,((AI76+(IF(R76="IN-07",'Assumptions &amp; Inputs'!$C$66,AF76))*AL76)*AS76)+AW76+(((AI76+(IF(R76="IN-07",'Assumptions &amp; Inputs'!$C$66,AF76))*AL76)*AS76)*AZ76)+IF(BD76="Yes",(((AI76+(IF(R76="IN-07",'Assumptions &amp; Inputs'!$C$66,AF76))*AL76)*AS76)+AW76)*VLOOKUP("IN-34",'Assumptions &amp; Inputs'!$A$31:$F$69,3,FALSE),0),0)</f>
        <v>17722.5</v>
      </c>
      <c r="BV76" s="4">
        <f>IF(BO76=1,((AJ76+(IF(R76="IN-07",'Assumptions &amp; Inputs'!$D$66,AG76))*AM76)*AS76)+AX76+(((AJ76+(IF(R76="IN-07",'Assumptions &amp; Inputs'!$D$66,AG76))*AM76)*AS76)*AZ76)+IF(BD76="Yes",(((AJ76+(IF(R76="IN-07",'Assumptions &amp; Inputs'!$D$66,AG76))*AM76)*AS76)+AX76)*VLOOKUP("IN-34",'Assumptions &amp; Inputs'!$A$31:$F$69,4,FALSE),0),0)</f>
        <v>63645</v>
      </c>
      <c r="BW76" s="4">
        <f>IF(BO76=1,((AK76+(IF(R76="IN-07",'Assumptions &amp; Inputs'!$E$66,AH76))*AN76)*AS76)+AY76+(((AK76+(IF(R76="IN-07",'Assumptions &amp; Inputs'!$E$66,AH76))*AN76)*AS76)*AZ76)+IF(BD76="Yes",(((AK76+(IF(R76="IN-07",'Assumptions &amp; Inputs'!$E$66,AH76))*AN76)*AS76)+AY76)*VLOOKUP("IN-34",'Assumptions &amp; Inputs'!$A$31:$F$69,5,FALSE),0),0)</f>
        <v>308450</v>
      </c>
      <c r="BX76" s="4">
        <f>IF(BP76=1,((AI76+(IF(R76="IN-07",'Assumptions &amp; Inputs'!$C$66,AF76))*AL76)*AS76)+AW76+(((AI76+(IF(R76="IN-07",'Assumptions &amp; Inputs'!$C$66,AF76))*AL76)*AS76)*AZ76)+IF(BD76="Yes",(((AI76+(IF(R76="IN-07",'Assumptions &amp; Inputs'!$C$66,AF76))*AL76)*AS76)+AW76)*VLOOKUP("IN-34",'Assumptions &amp; Inputs'!$A$31:$F$69,3,FALSE),0),0)</f>
        <v>17722.5</v>
      </c>
      <c r="BY76" s="4">
        <f>IF(BP76=1,((AJ76+(IF(R76="IN-07",'Assumptions &amp; Inputs'!$D$66,AG76))*AM76)*AS76)+AX76+(((AJ76+(IF(R76="IN-07",'Assumptions &amp; Inputs'!$D$66,AG76))*AM76)*AS76)*AZ76)+IF(BD76="Yes",(((AJ76+(IF(R76="IN-07",'Assumptions &amp; Inputs'!$D$66,AG76))*AM76)*AS76)+AX76)*VLOOKUP("IN-34",'Assumptions &amp; Inputs'!$A$31:$F$69,4,FALSE),0),0)</f>
        <v>63645</v>
      </c>
      <c r="BZ76" s="4">
        <f>IF(BP76=1,((AK76+(IF(R76="IN-07",'Assumptions &amp; Inputs'!$E$66,AH76))*AN76)*AS76)+AY76+(((AK76+(IF(R76="IN-07",'Assumptions &amp; Inputs'!$E$66,AH76))*AN76)*AS76)*AZ76)+IF(BD76="Yes",(((AK76+(IF(R76="IN-07",'Assumptions &amp; Inputs'!$E$66,AH76))*AN76)*AS76)+AY76)*VLOOKUP("IN-34",'Assumptions &amp; Inputs'!$A$31:$F$69,5,FALSE),0),0)</f>
        <v>308450</v>
      </c>
      <c r="CA76" s="4">
        <f>IF(BQ76=1,((AI76+(IF(R76="IN-07",'Assumptions &amp; Inputs'!$C$65,AF76))*AL76)*AS76)+AW76+(((AI76+(IF(R76="IN-07",'Assumptions &amp; Inputs'!$C$65,AF76))*AL76)*AS76)*AZ76)+IF(BD76="Yes",(((AI76+(IF(R76="IN-07",'Assumptions &amp; Inputs'!$C$65,AF76))*AL76)*AS76)+AW76)*VLOOKUP("IN-34",'Assumptions &amp; Inputs'!$A$31:$F$69,3,FALSE),0),0)</f>
        <v>17722.5</v>
      </c>
      <c r="CB76" s="4">
        <f>IF(BQ76=1,((AJ76+(IF(R76="IN-07",'Assumptions &amp; Inputs'!$D$65,AG76))*AM76)*AS76)+AX76+(((AJ76+(IF(R76="IN-07",'Assumptions &amp; Inputs'!$D$65,AG76))*AM76)*AS76)*AZ76)+IF(BD76="Yes",(((AJ76+(IF(R76="IN-07",'Assumptions &amp; Inputs'!$D$65,AG76))*AM76)*AS76)+AX76)*VLOOKUP("IN-34",'Assumptions &amp; Inputs'!$A$31:$F$69,4,FALSE),0),0)</f>
        <v>63645</v>
      </c>
      <c r="CC76" s="4">
        <f>IF(BQ76=1,((AK76+(IF(R76="IN-07",'Assumptions &amp; Inputs'!$E$65,AH76))*AN76)*AS76)+AY76+(((AK76+(IF(R76="IN-07",'Assumptions &amp; Inputs'!$E$65,AH76))*AN76)*AS76)*AZ76)+IF(BD76="Yes",(((AK76+(IF(R76="IN-07",'Assumptions &amp; Inputs'!$E$65,AH76))*AN76)*AS76)+AY76)*VLOOKUP("IN-34",'Assumptions &amp; Inputs'!$A$31:$F$69,5,FALSE),0),0)</f>
        <v>308450</v>
      </c>
      <c r="CD76" s="4">
        <f>IF(BR76=1,((AI76+(IF(R76="IN-07",'Assumptions &amp; Inputs'!$C$65,AF76))*AL76)*AS76)+AW76+(((AI76+(IF(R76="IN-07",'Assumptions &amp; Inputs'!$C$65,AF76))*AL76)*AS76)*AZ76)+IF(BD76="Yes",(((AI76+(IF(R76="IN-07",'Assumptions &amp; Inputs'!$C$65,AF76))*AL76)*AS76)+AW76)*VLOOKUP("IN-34",'Assumptions &amp; Inputs'!$A$31:$F$69,3,FALSE),0),0)</f>
        <v>17722.5</v>
      </c>
      <c r="CE76" s="4">
        <f>IF(BR76=1,((AJ76+(IF(R76="IN-07",'Assumptions &amp; Inputs'!$D$65,AG76))*AM76)*AS76)+AX76+(((AJ76+(IF(R76="IN-07",'Assumptions &amp; Inputs'!$D$65,AG76))*AM76)*AS76)*AZ76)+IF(BD76="Yes",(((AJ76+(IF(R76="IN-07",'Assumptions &amp; Inputs'!$D$65,AG76))*AM76)*AS76)+AX76)*VLOOKUP("IN-34",'Assumptions &amp; Inputs'!$A$31:$F$69,4,FALSE),0),0)</f>
        <v>63645</v>
      </c>
      <c r="CF76" s="4">
        <f>IF(BR76=1,((AK76+(IF(R76="IN-07",'Assumptions &amp; Inputs'!$E$65,AH76))*AN76)*AS76)+AY76+(((AK76+(IF(R76="IN-07",'Assumptions &amp; Inputs'!$E$65,AH76))*AN76)*AS76)*AZ76)+IF(BD76="Yes",(((AK76+(IF(R76="IN-07",'Assumptions &amp; Inputs'!$E$65,AH76))*AN76)*AS76)+AY76)*VLOOKUP("IN-34",'Assumptions &amp; Inputs'!$A$31:$F$69,5,FALSE),0),0)</f>
        <v>308450</v>
      </c>
      <c r="CG76" s="4">
        <f>IF(BS76=1,((AI76+(IF(R76="IN-07",0,AF76))*AL76)*AS76)+AW76+(((AI76+(IF(R76="IN-07",0,AF76))*AL76)*AS76)*AZ76)+IF(BD76="Yes",(((AI76+(IF(R76="IN-07",0,AF76))*AL76)*AS76)+AW76)*VLOOKUP("IN-34",'Assumptions &amp; Inputs'!$A$31:$F$69,3,FALSE),0),0)</f>
        <v>17722.5</v>
      </c>
      <c r="CH76" s="4">
        <f>IF(BS76=1,((AJ76+(IF(R76="IN-07",0,AG76))*AM76)*AS76)+AX76+(((AJ76+(IF(R76="IN-07",0,AG76))*AM76)*AS76)*AZ76)+IF(BD76="Yes",(((AJ76+(IF(R76="IN-07",0,AG76))*AM76)*AS76)+AX76)*VLOOKUP("IN-34",'Assumptions &amp; Inputs'!$A$31:$F$69,4,FALSE),0),0)</f>
        <v>63645</v>
      </c>
      <c r="CI76" s="4">
        <f>IF(BS76=1,((AK76+(IF(R76="IN-07",0,AH76))*AN76)*AS76)+AY76+(((AK76+(IF(R76="IN-07",0,AH76))*AN76)*AS76)*AZ76)+IF(BD76="Yes",(((AK76+(IF(R76="IN-07",0,AH76))*AN76)*AS76)+AY76)*VLOOKUP("IN-34",'Assumptions &amp; Inputs'!$A$31:$F$69,5,FALSE),0),0)</f>
        <v>308450</v>
      </c>
      <c r="CJ76" s="4">
        <f>IF(BT76=1,((AI76+(IF(R76="IN-07",0,AF76))*AL76)*AS76)+AW76+(((AI76+(IF(R76="IN-07",0,AF76))*AL76)*AS76)*AZ76)+IF(BD76="Yes",(((AI76+(IF(R76="IN-07",0,AF76))*AL76)*AS76)+AW76)*VLOOKUP("IN-34",'Assumptions &amp; Inputs'!$A$31:$F$69,3,FALSE),0),0)</f>
        <v>17722.5</v>
      </c>
      <c r="CK76" s="4">
        <f>IF(BT76=1,((AJ76+(IF(R76="IN-07",0,AG76))*AM76)*AS76)+AX76+(((AJ76+(IF(R76="IN-07",0,AG76))*AM76)*AS76)*AZ76)+IF(BD76="Yes",(((AJ76+(IF(R76="IN-07",0,AG76))*AM76)*AS76)+AX76)*VLOOKUP("IN-34",'Assumptions &amp; Inputs'!$A$31:$F$69,4,FALSE),0),0)</f>
        <v>63645</v>
      </c>
      <c r="CL76" s="4">
        <f>IF(BT76=1,((AK76+(IF(R76="IN-07",0,AH76))*AN76)*AS76)+AY76+(((AK76+(IF(R76="IN-07",0,AH76))*AN76)*AS76)*AZ76)+IF(BD76="Yes",(((AK76+(IF(R76="IN-07",0,AH76))*AN76)*AS76)+AY76)*VLOOKUP("IN-34",'Assumptions &amp; Inputs'!$A$31:$F$69,5,FALSE),0),0)</f>
        <v>308450</v>
      </c>
    </row>
    <row r="77" spans="1:90" ht="43.5" x14ac:dyDescent="0.35">
      <c r="A77" s="1" t="s">
        <v>1404</v>
      </c>
      <c r="B77" s="1" t="s">
        <v>1405</v>
      </c>
      <c r="C77" s="1" t="s">
        <v>50</v>
      </c>
      <c r="D77" s="1" t="s">
        <v>59</v>
      </c>
      <c r="E77" s="1" t="s">
        <v>1406</v>
      </c>
      <c r="F77" s="1" t="s">
        <v>1407</v>
      </c>
      <c r="G77" s="1" t="s">
        <v>1408</v>
      </c>
      <c r="H77" s="1" t="s">
        <v>1409</v>
      </c>
      <c r="I77" s="1" t="s">
        <v>1265</v>
      </c>
      <c r="J77" s="1" t="s">
        <v>1410</v>
      </c>
      <c r="K77" s="1" t="s">
        <v>1313</v>
      </c>
      <c r="L77" s="1" t="s">
        <v>1265</v>
      </c>
      <c r="M77" s="1" t="s">
        <v>532</v>
      </c>
      <c r="N77" s="1" t="s">
        <v>156</v>
      </c>
      <c r="O77" s="1" t="s">
        <v>533</v>
      </c>
      <c r="P77" s="1" t="s">
        <v>593</v>
      </c>
      <c r="Q77" s="1" t="s">
        <v>1268</v>
      </c>
      <c r="R77" s="1" t="s">
        <v>303</v>
      </c>
      <c r="S77" s="1" t="s">
        <v>1028</v>
      </c>
      <c r="T77" s="1" t="s">
        <v>1266</v>
      </c>
      <c r="U77" s="1" t="s">
        <v>1411</v>
      </c>
      <c r="V77" s="1" t="s">
        <v>1271</v>
      </c>
      <c r="W77" s="1" t="s">
        <v>540</v>
      </c>
      <c r="X77" s="1" t="s">
        <v>817</v>
      </c>
      <c r="Y77" s="1" t="s">
        <v>171</v>
      </c>
      <c r="Z77" s="1" t="s">
        <v>543</v>
      </c>
      <c r="AA77" s="1" t="s">
        <v>789</v>
      </c>
      <c r="AB77" s="1" t="s">
        <v>545</v>
      </c>
      <c r="AC77" s="1" t="s">
        <v>1412</v>
      </c>
      <c r="AD77" s="1" t="s">
        <v>804</v>
      </c>
      <c r="AE77" s="22">
        <f>IF(ISNUMBER(SEARCH('Scenario Definitions'!$C$5,N77)),1,0)</f>
        <v>1</v>
      </c>
      <c r="AF77" s="22">
        <f>IFERROR(VLOOKUP(R77,'Assumptions &amp; Inputs'!$A$31:$F$69,3,FALSE),0)</f>
        <v>6</v>
      </c>
      <c r="AG77" s="22">
        <f>IFERROR(VLOOKUP(R77,'Assumptions &amp; Inputs'!$A$31:$F$69,4,FALSE),0)</f>
        <v>12</v>
      </c>
      <c r="AH77" s="23">
        <f>IFERROR(VLOOKUP(R77,'Assumptions &amp; Inputs'!$A$31:$F$69,5,FALSE),0)</f>
        <v>25</v>
      </c>
      <c r="AI77" s="11">
        <v>0</v>
      </c>
      <c r="AJ77" s="11">
        <v>0</v>
      </c>
      <c r="AK77" s="11">
        <v>0</v>
      </c>
      <c r="AL77" s="11">
        <v>9</v>
      </c>
      <c r="AM77" s="11">
        <v>12</v>
      </c>
      <c r="AN77" s="11">
        <v>18</v>
      </c>
      <c r="AO77" s="39">
        <f t="shared" si="36"/>
        <v>54</v>
      </c>
      <c r="AP77" s="22">
        <f t="shared" si="37"/>
        <v>144</v>
      </c>
      <c r="AQ77" s="23">
        <f t="shared" si="38"/>
        <v>450</v>
      </c>
      <c r="AR77" s="58" t="s">
        <v>433</v>
      </c>
      <c r="AS77" s="35">
        <f>IFERROR(VLOOKUP(AR77,'Assumptions &amp; Inputs'!$A$73:$I$100,9,FALSE),0)</f>
        <v>95</v>
      </c>
      <c r="AT77" s="30">
        <f t="shared" si="39"/>
        <v>5130</v>
      </c>
      <c r="AU77" s="30">
        <f t="shared" si="40"/>
        <v>13680</v>
      </c>
      <c r="AV77" s="31">
        <f t="shared" si="41"/>
        <v>42750</v>
      </c>
      <c r="AW77" s="57">
        <v>0</v>
      </c>
      <c r="AX77" s="57">
        <v>0</v>
      </c>
      <c r="AY77" s="57">
        <v>0</v>
      </c>
      <c r="AZ77" s="35">
        <f>IFERROR(VLOOKUP(C77,'Assumptions &amp; Inputs'!$A$104:$B$107,2,FALSE),0)</f>
        <v>0.25</v>
      </c>
      <c r="BA77" s="30">
        <f t="shared" si="42"/>
        <v>1282.5</v>
      </c>
      <c r="BB77" s="30">
        <f t="shared" si="43"/>
        <v>3420</v>
      </c>
      <c r="BC77" s="31">
        <f t="shared" si="44"/>
        <v>10687.5</v>
      </c>
      <c r="BD77" s="57" t="s">
        <v>209</v>
      </c>
      <c r="BE77" s="35">
        <f>IF(BD77="Yes",(AT77+AW77)*VLOOKUP("IN-34",'Assumptions &amp; Inputs'!$A$31:$F$69,3,FALSE),0)</f>
        <v>256.5</v>
      </c>
      <c r="BF77" s="30">
        <f>IF(BD77="Yes",(AU77+AX77)*VLOOKUP("IN-34",'Assumptions &amp; Inputs'!$A$31:$F$69,4,FALSE),0)</f>
        <v>1026</v>
      </c>
      <c r="BG77" s="30">
        <f>IF(BD77="Yes",(AV77+AY77)*VLOOKUP("IN-34",'Assumptions &amp; Inputs'!$A$31:$F$69,5,FALSE),0)</f>
        <v>6412.5</v>
      </c>
      <c r="BH77" s="30">
        <f t="shared" si="45"/>
        <v>6669</v>
      </c>
      <c r="BI77" s="30">
        <f t="shared" si="46"/>
        <v>18126</v>
      </c>
      <c r="BJ77" s="31">
        <f t="shared" si="47"/>
        <v>59850</v>
      </c>
      <c r="BK77" s="58" t="s">
        <v>548</v>
      </c>
      <c r="BL77" s="58" t="s">
        <v>549</v>
      </c>
      <c r="BM77" s="58" t="s">
        <v>789</v>
      </c>
      <c r="BN77" s="58" t="s">
        <v>550</v>
      </c>
      <c r="BO77" s="5">
        <f t="shared" si="48"/>
        <v>1</v>
      </c>
      <c r="BP77" s="5">
        <f t="shared" si="49"/>
        <v>1</v>
      </c>
      <c r="BQ77" s="5">
        <f t="shared" si="50"/>
        <v>1</v>
      </c>
      <c r="BR77" s="5">
        <f t="shared" si="51"/>
        <v>1</v>
      </c>
      <c r="BS77" s="5">
        <f t="shared" si="52"/>
        <v>1</v>
      </c>
      <c r="BT77" s="5">
        <f t="shared" si="53"/>
        <v>1</v>
      </c>
      <c r="BU77" s="4">
        <f>IF(BO77=1,((AI77+(IF(R77="IN-07",'Assumptions &amp; Inputs'!$C$66,AF77))*AL77)*AS77)+AW77+(((AI77+(IF(R77="IN-07",'Assumptions &amp; Inputs'!$C$66,AF77))*AL77)*AS77)*AZ77)+IF(BD77="Yes",(((AI77+(IF(R77="IN-07",'Assumptions &amp; Inputs'!$C$66,AF77))*AL77)*AS77)+AW77)*VLOOKUP("IN-34",'Assumptions &amp; Inputs'!$A$31:$F$69,3,FALSE),0),0)</f>
        <v>6669</v>
      </c>
      <c r="BV77" s="4">
        <f>IF(BO77=1,((AJ77+(IF(R77="IN-07",'Assumptions &amp; Inputs'!$D$66,AG77))*AM77)*AS77)+AX77+(((AJ77+(IF(R77="IN-07",'Assumptions &amp; Inputs'!$D$66,AG77))*AM77)*AS77)*AZ77)+IF(BD77="Yes",(((AJ77+(IF(R77="IN-07",'Assumptions &amp; Inputs'!$D$66,AG77))*AM77)*AS77)+AX77)*VLOOKUP("IN-34",'Assumptions &amp; Inputs'!$A$31:$F$69,4,FALSE),0),0)</f>
        <v>18126</v>
      </c>
      <c r="BW77" s="4">
        <f>IF(BO77=1,((AK77+(IF(R77="IN-07",'Assumptions &amp; Inputs'!$E$66,AH77))*AN77)*AS77)+AY77+(((AK77+(IF(R77="IN-07",'Assumptions &amp; Inputs'!$E$66,AH77))*AN77)*AS77)*AZ77)+IF(BD77="Yes",(((AK77+(IF(R77="IN-07",'Assumptions &amp; Inputs'!$E$66,AH77))*AN77)*AS77)+AY77)*VLOOKUP("IN-34",'Assumptions &amp; Inputs'!$A$31:$F$69,5,FALSE),0),0)</f>
        <v>59850</v>
      </c>
      <c r="BX77" s="4">
        <f>IF(BP77=1,((AI77+(IF(R77="IN-07",'Assumptions &amp; Inputs'!$C$66,AF77))*AL77)*AS77)+AW77+(((AI77+(IF(R77="IN-07",'Assumptions &amp; Inputs'!$C$66,AF77))*AL77)*AS77)*AZ77)+IF(BD77="Yes",(((AI77+(IF(R77="IN-07",'Assumptions &amp; Inputs'!$C$66,AF77))*AL77)*AS77)+AW77)*VLOOKUP("IN-34",'Assumptions &amp; Inputs'!$A$31:$F$69,3,FALSE),0),0)</f>
        <v>6669</v>
      </c>
      <c r="BY77" s="4">
        <f>IF(BP77=1,((AJ77+(IF(R77="IN-07",'Assumptions &amp; Inputs'!$D$66,AG77))*AM77)*AS77)+AX77+(((AJ77+(IF(R77="IN-07",'Assumptions &amp; Inputs'!$D$66,AG77))*AM77)*AS77)*AZ77)+IF(BD77="Yes",(((AJ77+(IF(R77="IN-07",'Assumptions &amp; Inputs'!$D$66,AG77))*AM77)*AS77)+AX77)*VLOOKUP("IN-34",'Assumptions &amp; Inputs'!$A$31:$F$69,4,FALSE),0),0)</f>
        <v>18126</v>
      </c>
      <c r="BZ77" s="4">
        <f>IF(BP77=1,((AK77+(IF(R77="IN-07",'Assumptions &amp; Inputs'!$E$66,AH77))*AN77)*AS77)+AY77+(((AK77+(IF(R77="IN-07",'Assumptions &amp; Inputs'!$E$66,AH77))*AN77)*AS77)*AZ77)+IF(BD77="Yes",(((AK77+(IF(R77="IN-07",'Assumptions &amp; Inputs'!$E$66,AH77))*AN77)*AS77)+AY77)*VLOOKUP("IN-34",'Assumptions &amp; Inputs'!$A$31:$F$69,5,FALSE),0),0)</f>
        <v>59850</v>
      </c>
      <c r="CA77" s="4">
        <f>IF(BQ77=1,((AI77+(IF(R77="IN-07",'Assumptions &amp; Inputs'!$C$65,AF77))*AL77)*AS77)+AW77+(((AI77+(IF(R77="IN-07",'Assumptions &amp; Inputs'!$C$65,AF77))*AL77)*AS77)*AZ77)+IF(BD77="Yes",(((AI77+(IF(R77="IN-07",'Assumptions &amp; Inputs'!$C$65,AF77))*AL77)*AS77)+AW77)*VLOOKUP("IN-34",'Assumptions &amp; Inputs'!$A$31:$F$69,3,FALSE),0),0)</f>
        <v>6669</v>
      </c>
      <c r="CB77" s="4">
        <f>IF(BQ77=1,((AJ77+(IF(R77="IN-07",'Assumptions &amp; Inputs'!$D$65,AG77))*AM77)*AS77)+AX77+(((AJ77+(IF(R77="IN-07",'Assumptions &amp; Inputs'!$D$65,AG77))*AM77)*AS77)*AZ77)+IF(BD77="Yes",(((AJ77+(IF(R77="IN-07",'Assumptions &amp; Inputs'!$D$65,AG77))*AM77)*AS77)+AX77)*VLOOKUP("IN-34",'Assumptions &amp; Inputs'!$A$31:$F$69,4,FALSE),0),0)</f>
        <v>18126</v>
      </c>
      <c r="CC77" s="4">
        <f>IF(BQ77=1,((AK77+(IF(R77="IN-07",'Assumptions &amp; Inputs'!$E$65,AH77))*AN77)*AS77)+AY77+(((AK77+(IF(R77="IN-07",'Assumptions &amp; Inputs'!$E$65,AH77))*AN77)*AS77)*AZ77)+IF(BD77="Yes",(((AK77+(IF(R77="IN-07",'Assumptions &amp; Inputs'!$E$65,AH77))*AN77)*AS77)+AY77)*VLOOKUP("IN-34",'Assumptions &amp; Inputs'!$A$31:$F$69,5,FALSE),0),0)</f>
        <v>59850</v>
      </c>
      <c r="CD77" s="4">
        <f>IF(BR77=1,((AI77+(IF(R77="IN-07",'Assumptions &amp; Inputs'!$C$65,AF77))*AL77)*AS77)+AW77+(((AI77+(IF(R77="IN-07",'Assumptions &amp; Inputs'!$C$65,AF77))*AL77)*AS77)*AZ77)+IF(BD77="Yes",(((AI77+(IF(R77="IN-07",'Assumptions &amp; Inputs'!$C$65,AF77))*AL77)*AS77)+AW77)*VLOOKUP("IN-34",'Assumptions &amp; Inputs'!$A$31:$F$69,3,FALSE),0),0)</f>
        <v>6669</v>
      </c>
      <c r="CE77" s="4">
        <f>IF(BR77=1,((AJ77+(IF(R77="IN-07",'Assumptions &amp; Inputs'!$D$65,AG77))*AM77)*AS77)+AX77+(((AJ77+(IF(R77="IN-07",'Assumptions &amp; Inputs'!$D$65,AG77))*AM77)*AS77)*AZ77)+IF(BD77="Yes",(((AJ77+(IF(R77="IN-07",'Assumptions &amp; Inputs'!$D$65,AG77))*AM77)*AS77)+AX77)*VLOOKUP("IN-34",'Assumptions &amp; Inputs'!$A$31:$F$69,4,FALSE),0),0)</f>
        <v>18126</v>
      </c>
      <c r="CF77" s="4">
        <f>IF(BR77=1,((AK77+(IF(R77="IN-07",'Assumptions &amp; Inputs'!$E$65,AH77))*AN77)*AS77)+AY77+(((AK77+(IF(R77="IN-07",'Assumptions &amp; Inputs'!$E$65,AH77))*AN77)*AS77)*AZ77)+IF(BD77="Yes",(((AK77+(IF(R77="IN-07",'Assumptions &amp; Inputs'!$E$65,AH77))*AN77)*AS77)+AY77)*VLOOKUP("IN-34",'Assumptions &amp; Inputs'!$A$31:$F$69,5,FALSE),0),0)</f>
        <v>59850</v>
      </c>
      <c r="CG77" s="4">
        <f>IF(BS77=1,((AI77+(IF(R77="IN-07",0,AF77))*AL77)*AS77)+AW77+(((AI77+(IF(R77="IN-07",0,AF77))*AL77)*AS77)*AZ77)+IF(BD77="Yes",(((AI77+(IF(R77="IN-07",0,AF77))*AL77)*AS77)+AW77)*VLOOKUP("IN-34",'Assumptions &amp; Inputs'!$A$31:$F$69,3,FALSE),0),0)</f>
        <v>6669</v>
      </c>
      <c r="CH77" s="4">
        <f>IF(BS77=1,((AJ77+(IF(R77="IN-07",0,AG77))*AM77)*AS77)+AX77+(((AJ77+(IF(R77="IN-07",0,AG77))*AM77)*AS77)*AZ77)+IF(BD77="Yes",(((AJ77+(IF(R77="IN-07",0,AG77))*AM77)*AS77)+AX77)*VLOOKUP("IN-34",'Assumptions &amp; Inputs'!$A$31:$F$69,4,FALSE),0),0)</f>
        <v>18126</v>
      </c>
      <c r="CI77" s="4">
        <f>IF(BS77=1,((AK77+(IF(R77="IN-07",0,AH77))*AN77)*AS77)+AY77+(((AK77+(IF(R77="IN-07",0,AH77))*AN77)*AS77)*AZ77)+IF(BD77="Yes",(((AK77+(IF(R77="IN-07",0,AH77))*AN77)*AS77)+AY77)*VLOOKUP("IN-34",'Assumptions &amp; Inputs'!$A$31:$F$69,5,FALSE),0),0)</f>
        <v>59850</v>
      </c>
      <c r="CJ77" s="4">
        <f>IF(BT77=1,((AI77+(IF(R77="IN-07",0,AF77))*AL77)*AS77)+AW77+(((AI77+(IF(R77="IN-07",0,AF77))*AL77)*AS77)*AZ77)+IF(BD77="Yes",(((AI77+(IF(R77="IN-07",0,AF77))*AL77)*AS77)+AW77)*VLOOKUP("IN-34",'Assumptions &amp; Inputs'!$A$31:$F$69,3,FALSE),0),0)</f>
        <v>6669</v>
      </c>
      <c r="CK77" s="4">
        <f>IF(BT77=1,((AJ77+(IF(R77="IN-07",0,AG77))*AM77)*AS77)+AX77+(((AJ77+(IF(R77="IN-07",0,AG77))*AM77)*AS77)*AZ77)+IF(BD77="Yes",(((AJ77+(IF(R77="IN-07",0,AG77))*AM77)*AS77)+AX77)*VLOOKUP("IN-34",'Assumptions &amp; Inputs'!$A$31:$F$69,4,FALSE),0),0)</f>
        <v>18126</v>
      </c>
      <c r="CL77" s="4">
        <f>IF(BT77=1,((AK77+(IF(R77="IN-07",0,AH77))*AN77)*AS77)+AY77+(((AK77+(IF(R77="IN-07",0,AH77))*AN77)*AS77)*AZ77)+IF(BD77="Yes",(((AK77+(IF(R77="IN-07",0,AH77))*AN77)*AS77)+AY77)*VLOOKUP("IN-34",'Assumptions &amp; Inputs'!$A$31:$F$69,5,FALSE),0),0)</f>
        <v>59850</v>
      </c>
    </row>
  </sheetData>
  <mergeCells count="2">
    <mergeCell ref="A1:AD1"/>
    <mergeCell ref="A2:AD2"/>
  </mergeCells>
  <dataValidations count="1">
    <dataValidation type="list" sqref="AB5:AB77" xr:uid="{00000000-0002-0000-0500-000000000000}">
      <formula1>"Low,Moderate,High,Very high"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6"/>
  <sheetViews>
    <sheetView topLeftCell="I1" workbookViewId="0">
      <selection activeCell="K5" sqref="K5"/>
    </sheetView>
  </sheetViews>
  <sheetFormatPr defaultRowHeight="14.5" x14ac:dyDescent="0.35"/>
  <cols>
    <col min="1" max="1" width="16" customWidth="1"/>
    <col min="2" max="2" width="32" customWidth="1"/>
    <col min="3" max="3" width="38" customWidth="1"/>
    <col min="4" max="4" width="50" customWidth="1"/>
    <col min="5" max="5" width="30" customWidth="1"/>
    <col min="6" max="6" width="42" customWidth="1"/>
    <col min="7" max="7" width="30" customWidth="1"/>
    <col min="8" max="8" width="34" customWidth="1"/>
    <col min="9" max="9" width="38" customWidth="1"/>
    <col min="10" max="10" width="40" customWidth="1"/>
    <col min="11" max="11" width="12" customWidth="1"/>
    <col min="12" max="12" width="22" customWidth="1"/>
    <col min="13" max="15" width="15" customWidth="1"/>
    <col min="16" max="18" width="16" customWidth="1"/>
    <col min="19" max="19" width="14" customWidth="1"/>
    <col min="20" max="22" width="16" customWidth="1"/>
    <col min="23" max="25" width="18" customWidth="1"/>
    <col min="26" max="27" width="26" customWidth="1"/>
    <col min="28" max="28" width="16" customWidth="1"/>
  </cols>
  <sheetData>
    <row r="1" spans="1:28" ht="21" x14ac:dyDescent="0.35">
      <c r="A1" s="76" t="s">
        <v>1413</v>
      </c>
      <c r="B1" s="76"/>
      <c r="C1" s="76"/>
      <c r="D1" s="76"/>
      <c r="E1" s="76"/>
      <c r="F1" s="76"/>
      <c r="G1" s="76"/>
      <c r="H1" s="76"/>
      <c r="I1" s="76"/>
      <c r="J1" s="76"/>
    </row>
    <row r="2" spans="1:28" x14ac:dyDescent="0.35">
      <c r="A2" s="65" t="s">
        <v>97</v>
      </c>
      <c r="B2" s="65"/>
      <c r="C2" s="65"/>
      <c r="D2" s="65"/>
      <c r="E2" s="65"/>
      <c r="F2" s="65"/>
      <c r="G2" s="65"/>
      <c r="H2" s="65"/>
      <c r="I2" s="65"/>
      <c r="J2" s="65"/>
    </row>
    <row r="3" spans="1:28" x14ac:dyDescent="0.35">
      <c r="A3" s="42"/>
      <c r="B3" s="42"/>
      <c r="C3" s="42"/>
      <c r="D3" s="42"/>
      <c r="E3" s="42"/>
      <c r="F3" s="42"/>
      <c r="G3" s="42"/>
      <c r="H3" s="42"/>
      <c r="I3" s="42"/>
      <c r="J3" s="42"/>
    </row>
    <row r="4" spans="1:28" ht="29" x14ac:dyDescent="0.35">
      <c r="A4" s="9" t="s">
        <v>98</v>
      </c>
      <c r="B4" s="9" t="s">
        <v>1414</v>
      </c>
      <c r="C4" s="9" t="s">
        <v>100</v>
      </c>
      <c r="D4" s="9" t="s">
        <v>1415</v>
      </c>
      <c r="E4" s="9" t="s">
        <v>1416</v>
      </c>
      <c r="F4" s="9" t="s">
        <v>1417</v>
      </c>
      <c r="G4" s="9" t="s">
        <v>1418</v>
      </c>
      <c r="H4" s="9" t="s">
        <v>1419</v>
      </c>
      <c r="I4" s="9" t="s">
        <v>154</v>
      </c>
      <c r="J4" s="9" t="s">
        <v>1420</v>
      </c>
      <c r="K4" s="9" t="s">
        <v>1421</v>
      </c>
      <c r="L4" s="9" t="s">
        <v>1422</v>
      </c>
      <c r="M4" s="9" t="s">
        <v>1423</v>
      </c>
      <c r="N4" s="9" t="s">
        <v>1424</v>
      </c>
      <c r="O4" s="9" t="s">
        <v>1425</v>
      </c>
      <c r="P4" s="9" t="s">
        <v>1426</v>
      </c>
      <c r="Q4" s="9" t="s">
        <v>1427</v>
      </c>
      <c r="R4" s="9" t="s">
        <v>1428</v>
      </c>
      <c r="S4" s="9" t="s">
        <v>436</v>
      </c>
      <c r="T4" s="9" t="s">
        <v>491</v>
      </c>
      <c r="U4" s="9" t="s">
        <v>492</v>
      </c>
      <c r="V4" s="9" t="s">
        <v>493</v>
      </c>
      <c r="W4" s="9" t="s">
        <v>1429</v>
      </c>
      <c r="X4" s="9" t="s">
        <v>1430</v>
      </c>
      <c r="Y4" s="9" t="s">
        <v>1431</v>
      </c>
      <c r="Z4" s="9" t="s">
        <v>497</v>
      </c>
      <c r="AA4" s="9" t="s">
        <v>498</v>
      </c>
      <c r="AB4" s="9" t="s">
        <v>499</v>
      </c>
    </row>
    <row r="5" spans="1:28" ht="43.5" x14ac:dyDescent="0.35">
      <c r="A5" s="44" t="s">
        <v>104</v>
      </c>
      <c r="B5" s="40" t="s">
        <v>1432</v>
      </c>
      <c r="C5" s="40" t="s">
        <v>106</v>
      </c>
      <c r="D5" s="40" t="s">
        <v>1433</v>
      </c>
      <c r="E5" s="40" t="s">
        <v>1434</v>
      </c>
      <c r="F5" s="40" t="s">
        <v>1435</v>
      </c>
      <c r="G5" s="40" t="s">
        <v>1436</v>
      </c>
      <c r="H5" s="40" t="s">
        <v>1437</v>
      </c>
      <c r="I5" s="40" t="s">
        <v>1438</v>
      </c>
      <c r="J5" s="40" t="s">
        <v>1439</v>
      </c>
      <c r="K5" s="49" t="s">
        <v>1440</v>
      </c>
      <c r="L5" t="s">
        <v>1441</v>
      </c>
      <c r="M5" s="59">
        <v>120000</v>
      </c>
      <c r="N5" s="59">
        <v>220000</v>
      </c>
      <c r="O5" s="59">
        <v>400000</v>
      </c>
      <c r="P5" s="59">
        <v>50000</v>
      </c>
      <c r="Q5" s="59">
        <v>150000</v>
      </c>
      <c r="R5" s="59">
        <v>350000</v>
      </c>
      <c r="S5" s="60">
        <v>0.3</v>
      </c>
      <c r="T5" s="4">
        <f>IF(K5="Yes",(M5+P5)*VLOOKUP("IN-34",'Assumptions &amp; Inputs'!$A$31:$F$69,3,FALSE),0)</f>
        <v>0</v>
      </c>
      <c r="U5" s="4">
        <f>IF(K5="Yes",(N5+Q5)*VLOOKUP("IN-34",'Assumptions &amp; Inputs'!$A$31:$F$69,4,FALSE),0)</f>
        <v>0</v>
      </c>
      <c r="V5" s="4">
        <f>IF(K5="Yes",(O5+R5)*VLOOKUP("IN-34",'Assumptions &amp; Inputs'!$A$31:$F$69,5,FALSE),0)</f>
        <v>0</v>
      </c>
      <c r="W5" s="4">
        <f t="shared" ref="W5:W16" si="0">IF(K5="Yes",M5+P5+(M5*S5)+T5,0)</f>
        <v>0</v>
      </c>
      <c r="X5" s="4">
        <f t="shared" ref="X5:X16" si="1">IF(K5="Yes",N5+Q5+(N5*S5)+U5,0)</f>
        <v>0</v>
      </c>
      <c r="Y5" s="4">
        <f t="shared" ref="Y5:Y16" si="2">IF(K5="Yes",O5+R5+(O5*S5)+V5,0)</f>
        <v>0</v>
      </c>
      <c r="Z5" s="49" t="s">
        <v>1442</v>
      </c>
      <c r="AA5" s="49" t="s">
        <v>1443</v>
      </c>
      <c r="AB5" s="49" t="s">
        <v>692</v>
      </c>
    </row>
    <row r="6" spans="1:28" ht="43.5" x14ac:dyDescent="0.35">
      <c r="A6" s="44" t="s">
        <v>110</v>
      </c>
      <c r="B6" s="40" t="s">
        <v>111</v>
      </c>
      <c r="C6" s="40" t="s">
        <v>112</v>
      </c>
      <c r="D6" s="40" t="s">
        <v>1444</v>
      </c>
      <c r="E6" s="40" t="s">
        <v>1445</v>
      </c>
      <c r="F6" s="40" t="s">
        <v>1446</v>
      </c>
      <c r="G6" s="40" t="s">
        <v>1447</v>
      </c>
      <c r="H6" s="40" t="s">
        <v>1448</v>
      </c>
      <c r="I6" s="40" t="s">
        <v>1449</v>
      </c>
      <c r="J6" s="40" t="s">
        <v>1450</v>
      </c>
      <c r="K6" s="49" t="s">
        <v>1440</v>
      </c>
      <c r="L6" t="s">
        <v>1441</v>
      </c>
      <c r="M6" s="59">
        <v>50000</v>
      </c>
      <c r="N6" s="59">
        <v>100000</v>
      </c>
      <c r="O6" s="59">
        <v>220000</v>
      </c>
      <c r="P6" s="59">
        <v>10000</v>
      </c>
      <c r="Q6" s="59">
        <v>35000</v>
      </c>
      <c r="R6" s="59">
        <v>100000</v>
      </c>
      <c r="S6" s="60">
        <v>0.25</v>
      </c>
      <c r="T6" s="4">
        <f>IF(K6="Yes",(M6+P6)*VLOOKUP("IN-34",'Assumptions &amp; Inputs'!$A$31:$F$69,3,FALSE),0)</f>
        <v>0</v>
      </c>
      <c r="U6" s="4">
        <f>IF(K6="Yes",(N6+Q6)*VLOOKUP("IN-34",'Assumptions &amp; Inputs'!$A$31:$F$69,4,FALSE),0)</f>
        <v>0</v>
      </c>
      <c r="V6" s="4">
        <f>IF(K6="Yes",(O6+R6)*VLOOKUP("IN-34",'Assumptions &amp; Inputs'!$A$31:$F$69,5,FALSE),0)</f>
        <v>0</v>
      </c>
      <c r="W6" s="4">
        <f t="shared" si="0"/>
        <v>0</v>
      </c>
      <c r="X6" s="4">
        <f t="shared" si="1"/>
        <v>0</v>
      </c>
      <c r="Y6" s="4">
        <f t="shared" si="2"/>
        <v>0</v>
      </c>
      <c r="Z6" s="49" t="s">
        <v>548</v>
      </c>
      <c r="AA6" s="49" t="s">
        <v>1451</v>
      </c>
      <c r="AB6" s="49"/>
    </row>
    <row r="7" spans="1:28" ht="29" x14ac:dyDescent="0.35">
      <c r="A7" s="44" t="s">
        <v>115</v>
      </c>
      <c r="B7" s="40" t="s">
        <v>1452</v>
      </c>
      <c r="C7" s="40" t="s">
        <v>117</v>
      </c>
      <c r="D7" s="40" t="s">
        <v>1453</v>
      </c>
      <c r="E7" s="40" t="s">
        <v>1454</v>
      </c>
      <c r="F7" s="40" t="s">
        <v>1455</v>
      </c>
      <c r="G7" s="40" t="s">
        <v>1456</v>
      </c>
      <c r="H7" s="40" t="s">
        <v>1457</v>
      </c>
      <c r="I7" s="40" t="s">
        <v>1458</v>
      </c>
      <c r="J7" s="40" t="s">
        <v>1459</v>
      </c>
      <c r="K7" s="49" t="s">
        <v>1440</v>
      </c>
      <c r="L7" t="s">
        <v>670</v>
      </c>
      <c r="M7" s="59">
        <v>100000</v>
      </c>
      <c r="N7" s="59">
        <v>220000</v>
      </c>
      <c r="O7" s="59">
        <v>450000</v>
      </c>
      <c r="P7" s="59">
        <v>75000</v>
      </c>
      <c r="Q7" s="59">
        <v>200000</v>
      </c>
      <c r="R7" s="59">
        <v>500000</v>
      </c>
      <c r="S7" s="60">
        <v>0.35</v>
      </c>
      <c r="T7" s="4">
        <f>IF(K7="Yes",(M7+P7)*VLOOKUP("IN-34",'Assumptions &amp; Inputs'!$A$31:$F$69,3,FALSE),0)</f>
        <v>0</v>
      </c>
      <c r="U7" s="4">
        <f>IF(K7="Yes",(N7+Q7)*VLOOKUP("IN-34",'Assumptions &amp; Inputs'!$A$31:$F$69,4,FALSE),0)</f>
        <v>0</v>
      </c>
      <c r="V7" s="4">
        <f>IF(K7="Yes",(O7+R7)*VLOOKUP("IN-34",'Assumptions &amp; Inputs'!$A$31:$F$69,5,FALSE),0)</f>
        <v>0</v>
      </c>
      <c r="W7" s="4">
        <f t="shared" si="0"/>
        <v>0</v>
      </c>
      <c r="X7" s="4">
        <f t="shared" si="1"/>
        <v>0</v>
      </c>
      <c r="Y7" s="4">
        <f t="shared" si="2"/>
        <v>0</v>
      </c>
      <c r="Z7" s="49" t="s">
        <v>1460</v>
      </c>
      <c r="AA7" s="49" t="s">
        <v>1443</v>
      </c>
      <c r="AB7" s="49" t="s">
        <v>692</v>
      </c>
    </row>
    <row r="8" spans="1:28" ht="43.5" x14ac:dyDescent="0.35">
      <c r="A8" s="40" t="s">
        <v>120</v>
      </c>
      <c r="B8" s="40" t="s">
        <v>121</v>
      </c>
      <c r="C8" s="40" t="s">
        <v>122</v>
      </c>
      <c r="D8" s="40" t="s">
        <v>1461</v>
      </c>
      <c r="E8" s="40" t="s">
        <v>1462</v>
      </c>
      <c r="F8" s="40" t="s">
        <v>1463</v>
      </c>
      <c r="G8" s="40" t="s">
        <v>1464</v>
      </c>
      <c r="H8" s="40" t="s">
        <v>1465</v>
      </c>
      <c r="I8" s="40" t="s">
        <v>1466</v>
      </c>
      <c r="J8" s="40" t="s">
        <v>1467</v>
      </c>
      <c r="K8" s="49" t="s">
        <v>1440</v>
      </c>
      <c r="L8" t="s">
        <v>1441</v>
      </c>
      <c r="M8" s="59">
        <v>25000</v>
      </c>
      <c r="N8" s="59">
        <v>50000</v>
      </c>
      <c r="O8" s="59">
        <v>95000</v>
      </c>
      <c r="P8" s="59">
        <v>5000</v>
      </c>
      <c r="Q8" s="59">
        <v>15000</v>
      </c>
      <c r="R8" s="59">
        <v>40000</v>
      </c>
      <c r="S8" s="60">
        <v>0.25</v>
      </c>
      <c r="T8" s="4">
        <f>IF(K8="Yes",(M8+P8)*VLOOKUP("IN-34",'Assumptions &amp; Inputs'!$A$31:$F$69,3,FALSE),0)</f>
        <v>0</v>
      </c>
      <c r="U8" s="4">
        <f>IF(K8="Yes",(N8+Q8)*VLOOKUP("IN-34",'Assumptions &amp; Inputs'!$A$31:$F$69,4,FALSE),0)</f>
        <v>0</v>
      </c>
      <c r="V8" s="4">
        <f>IF(K8="Yes",(O8+R8)*VLOOKUP("IN-34",'Assumptions &amp; Inputs'!$A$31:$F$69,5,FALSE),0)</f>
        <v>0</v>
      </c>
      <c r="W8" s="4">
        <f t="shared" si="0"/>
        <v>0</v>
      </c>
      <c r="X8" s="4">
        <f t="shared" si="1"/>
        <v>0</v>
      </c>
      <c r="Y8" s="4">
        <f t="shared" si="2"/>
        <v>0</v>
      </c>
      <c r="Z8" s="49" t="s">
        <v>1468</v>
      </c>
      <c r="AA8" s="49" t="s">
        <v>549</v>
      </c>
      <c r="AB8" s="49" t="s">
        <v>1274</v>
      </c>
    </row>
    <row r="9" spans="1:28" ht="29" x14ac:dyDescent="0.35">
      <c r="A9" s="40" t="s">
        <v>125</v>
      </c>
      <c r="B9" s="40" t="s">
        <v>126</v>
      </c>
      <c r="C9" s="40" t="s">
        <v>127</v>
      </c>
      <c r="D9" s="40" t="s">
        <v>1469</v>
      </c>
      <c r="E9" s="40" t="s">
        <v>1470</v>
      </c>
      <c r="F9" s="40" t="s">
        <v>1471</v>
      </c>
      <c r="G9" s="40" t="s">
        <v>1472</v>
      </c>
      <c r="H9" s="40" t="s">
        <v>1473</v>
      </c>
      <c r="I9" s="40" t="s">
        <v>1474</v>
      </c>
      <c r="J9" s="40" t="s">
        <v>1475</v>
      </c>
      <c r="K9" s="49" t="s">
        <v>1440</v>
      </c>
      <c r="L9" t="s">
        <v>160</v>
      </c>
      <c r="M9" s="59">
        <v>12000</v>
      </c>
      <c r="N9" s="59">
        <v>25000</v>
      </c>
      <c r="O9" s="59">
        <v>50000</v>
      </c>
      <c r="P9" s="59">
        <v>2000</v>
      </c>
      <c r="Q9" s="59">
        <v>6000</v>
      </c>
      <c r="R9" s="59">
        <v>15000</v>
      </c>
      <c r="S9" s="60">
        <v>0.3</v>
      </c>
      <c r="T9" s="4">
        <f>IF(K9="Yes",(M9+P9)*VLOOKUP("IN-34",'Assumptions &amp; Inputs'!$A$31:$F$69,3,FALSE),0)</f>
        <v>0</v>
      </c>
      <c r="U9" s="4">
        <f>IF(K9="Yes",(N9+Q9)*VLOOKUP("IN-34",'Assumptions &amp; Inputs'!$A$31:$F$69,4,FALSE),0)</f>
        <v>0</v>
      </c>
      <c r="V9" s="4">
        <f>IF(K9="Yes",(O9+R9)*VLOOKUP("IN-34",'Assumptions &amp; Inputs'!$A$31:$F$69,5,FALSE),0)</f>
        <v>0</v>
      </c>
      <c r="W9" s="4">
        <f t="shared" si="0"/>
        <v>0</v>
      </c>
      <c r="X9" s="4">
        <f t="shared" si="1"/>
        <v>0</v>
      </c>
      <c r="Y9" s="4">
        <f t="shared" si="2"/>
        <v>0</v>
      </c>
      <c r="Z9" s="49" t="s">
        <v>1468</v>
      </c>
      <c r="AA9" s="49" t="s">
        <v>1476</v>
      </c>
      <c r="AB9" s="49" t="s">
        <v>1115</v>
      </c>
    </row>
    <row r="10" spans="1:28" ht="29" x14ac:dyDescent="0.35">
      <c r="A10" s="40" t="s">
        <v>128</v>
      </c>
      <c r="B10" s="40" t="s">
        <v>129</v>
      </c>
      <c r="C10" s="40" t="s">
        <v>130</v>
      </c>
      <c r="D10" s="40" t="s">
        <v>1477</v>
      </c>
      <c r="E10" s="40" t="s">
        <v>1478</v>
      </c>
      <c r="F10" s="40" t="s">
        <v>1479</v>
      </c>
      <c r="G10" s="40" t="s">
        <v>1480</v>
      </c>
      <c r="H10" s="40" t="s">
        <v>1481</v>
      </c>
      <c r="I10" s="40" t="s">
        <v>1482</v>
      </c>
      <c r="J10" s="40" t="s">
        <v>1483</v>
      </c>
      <c r="K10" s="49" t="s">
        <v>1440</v>
      </c>
      <c r="L10" t="s">
        <v>1441</v>
      </c>
      <c r="M10" s="59">
        <v>45000</v>
      </c>
      <c r="N10" s="59">
        <v>90000</v>
      </c>
      <c r="O10" s="59">
        <v>170000</v>
      </c>
      <c r="P10" s="59">
        <v>15000</v>
      </c>
      <c r="Q10" s="59">
        <v>35000</v>
      </c>
      <c r="R10" s="59">
        <v>90000</v>
      </c>
      <c r="S10" s="60">
        <v>0.35</v>
      </c>
      <c r="T10" s="4">
        <f>IF(K10="Yes",(M10+P10)*VLOOKUP("IN-34",'Assumptions &amp; Inputs'!$A$31:$F$69,3,FALSE),0)</f>
        <v>0</v>
      </c>
      <c r="U10" s="4">
        <f>IF(K10="Yes",(N10+Q10)*VLOOKUP("IN-34",'Assumptions &amp; Inputs'!$A$31:$F$69,4,FALSE),0)</f>
        <v>0</v>
      </c>
      <c r="V10" s="4">
        <f>IF(K10="Yes",(O10+R10)*VLOOKUP("IN-34",'Assumptions &amp; Inputs'!$A$31:$F$69,5,FALSE),0)</f>
        <v>0</v>
      </c>
      <c r="W10" s="4">
        <f t="shared" si="0"/>
        <v>0</v>
      </c>
      <c r="X10" s="4">
        <f t="shared" si="1"/>
        <v>0</v>
      </c>
      <c r="Y10" s="4">
        <f t="shared" si="2"/>
        <v>0</v>
      </c>
      <c r="Z10" s="49" t="s">
        <v>1468</v>
      </c>
      <c r="AA10" s="49" t="s">
        <v>1443</v>
      </c>
      <c r="AB10" s="49" t="s">
        <v>692</v>
      </c>
    </row>
    <row r="11" spans="1:28" ht="43.5" x14ac:dyDescent="0.35">
      <c r="A11" s="40" t="s">
        <v>132</v>
      </c>
      <c r="B11" s="40" t="s">
        <v>133</v>
      </c>
      <c r="C11" s="40" t="s">
        <v>134</v>
      </c>
      <c r="D11" s="40" t="s">
        <v>1484</v>
      </c>
      <c r="E11" s="40" t="s">
        <v>1485</v>
      </c>
      <c r="F11" s="40" t="s">
        <v>1486</v>
      </c>
      <c r="G11" s="40" t="s">
        <v>1487</v>
      </c>
      <c r="H11" s="40" t="s">
        <v>1488</v>
      </c>
      <c r="I11" s="40" t="s">
        <v>1489</v>
      </c>
      <c r="J11" s="40" t="s">
        <v>1490</v>
      </c>
      <c r="K11" s="49" t="s">
        <v>1440</v>
      </c>
      <c r="L11" t="s">
        <v>1441</v>
      </c>
      <c r="M11" s="59">
        <v>35000</v>
      </c>
      <c r="N11" s="59">
        <v>70000</v>
      </c>
      <c r="O11" s="59">
        <v>140000</v>
      </c>
      <c r="P11" s="59">
        <v>15000</v>
      </c>
      <c r="Q11" s="59">
        <v>35000</v>
      </c>
      <c r="R11" s="59">
        <v>80000</v>
      </c>
      <c r="S11" s="60">
        <v>0.35</v>
      </c>
      <c r="T11" s="4">
        <f>IF(K11="Yes",(M11+P11)*VLOOKUP("IN-34",'Assumptions &amp; Inputs'!$A$31:$F$69,3,FALSE),0)</f>
        <v>0</v>
      </c>
      <c r="U11" s="4">
        <f>IF(K11="Yes",(N11+Q11)*VLOOKUP("IN-34",'Assumptions &amp; Inputs'!$A$31:$F$69,4,FALSE),0)</f>
        <v>0</v>
      </c>
      <c r="V11" s="4">
        <f>IF(K11="Yes",(O11+R11)*VLOOKUP("IN-34",'Assumptions &amp; Inputs'!$A$31:$F$69,5,FALSE),0)</f>
        <v>0</v>
      </c>
      <c r="W11" s="4">
        <f t="shared" si="0"/>
        <v>0</v>
      </c>
      <c r="X11" s="4">
        <f t="shared" si="1"/>
        <v>0</v>
      </c>
      <c r="Y11" s="4">
        <f t="shared" si="2"/>
        <v>0</v>
      </c>
      <c r="Z11" s="49" t="s">
        <v>1468</v>
      </c>
      <c r="AA11" s="49" t="s">
        <v>1443</v>
      </c>
      <c r="AB11" s="49" t="s">
        <v>692</v>
      </c>
    </row>
    <row r="12" spans="1:28" ht="29" x14ac:dyDescent="0.35">
      <c r="A12" s="40" t="s">
        <v>135</v>
      </c>
      <c r="B12" s="40" t="s">
        <v>136</v>
      </c>
      <c r="C12" s="40" t="s">
        <v>137</v>
      </c>
      <c r="D12" s="40" t="s">
        <v>1491</v>
      </c>
      <c r="E12" s="40" t="s">
        <v>1492</v>
      </c>
      <c r="F12" s="40" t="s">
        <v>1493</v>
      </c>
      <c r="G12" s="40" t="s">
        <v>1494</v>
      </c>
      <c r="H12" s="40" t="s">
        <v>1495</v>
      </c>
      <c r="I12" s="40" t="s">
        <v>1496</v>
      </c>
      <c r="J12" s="40" t="s">
        <v>1497</v>
      </c>
      <c r="K12" s="49" t="s">
        <v>1440</v>
      </c>
      <c r="L12" t="s">
        <v>1441</v>
      </c>
      <c r="M12" s="59">
        <v>30000</v>
      </c>
      <c r="N12" s="59">
        <v>65000</v>
      </c>
      <c r="O12" s="59">
        <v>140000</v>
      </c>
      <c r="P12" s="59">
        <v>10000</v>
      </c>
      <c r="Q12" s="59">
        <v>30000</v>
      </c>
      <c r="R12" s="59">
        <v>90000</v>
      </c>
      <c r="S12" s="60">
        <v>0.3</v>
      </c>
      <c r="T12" s="4">
        <f>IF(K12="Yes",(M12+P12)*VLOOKUP("IN-34",'Assumptions &amp; Inputs'!$A$31:$F$69,3,FALSE),0)</f>
        <v>0</v>
      </c>
      <c r="U12" s="4">
        <f>IF(K12="Yes",(N12+Q12)*VLOOKUP("IN-34",'Assumptions &amp; Inputs'!$A$31:$F$69,4,FALSE),0)</f>
        <v>0</v>
      </c>
      <c r="V12" s="4">
        <f>IF(K12="Yes",(O12+R12)*VLOOKUP("IN-34",'Assumptions &amp; Inputs'!$A$31:$F$69,5,FALSE),0)</f>
        <v>0</v>
      </c>
      <c r="W12" s="4">
        <f t="shared" si="0"/>
        <v>0</v>
      </c>
      <c r="X12" s="4">
        <f t="shared" si="1"/>
        <v>0</v>
      </c>
      <c r="Y12" s="4">
        <f t="shared" si="2"/>
        <v>0</v>
      </c>
      <c r="Z12" s="49" t="s">
        <v>1468</v>
      </c>
      <c r="AA12" s="49" t="s">
        <v>1498</v>
      </c>
      <c r="AB12" s="49" t="s">
        <v>853</v>
      </c>
    </row>
    <row r="13" spans="1:28" ht="29" x14ac:dyDescent="0.35">
      <c r="A13" s="40" t="s">
        <v>139</v>
      </c>
      <c r="B13" s="40" t="s">
        <v>140</v>
      </c>
      <c r="C13" s="40" t="s">
        <v>141</v>
      </c>
      <c r="D13" s="40" t="s">
        <v>1499</v>
      </c>
      <c r="E13" s="40" t="s">
        <v>1500</v>
      </c>
      <c r="F13" s="40" t="s">
        <v>1501</v>
      </c>
      <c r="G13" s="40" t="s">
        <v>1502</v>
      </c>
      <c r="H13" s="40" t="s">
        <v>763</v>
      </c>
      <c r="I13" s="40" t="s">
        <v>1503</v>
      </c>
      <c r="J13" s="40" t="s">
        <v>1504</v>
      </c>
      <c r="K13" s="49" t="s">
        <v>1440</v>
      </c>
      <c r="L13" t="s">
        <v>1441</v>
      </c>
      <c r="M13" s="59">
        <v>-180000</v>
      </c>
      <c r="N13" s="59">
        <v>-320000</v>
      </c>
      <c r="O13" s="59">
        <v>-520000</v>
      </c>
      <c r="P13" s="59">
        <v>-60000</v>
      </c>
      <c r="Q13" s="59">
        <v>-120000</v>
      </c>
      <c r="R13" s="59">
        <v>-220000</v>
      </c>
      <c r="S13" s="60">
        <v>0.3</v>
      </c>
      <c r="T13" s="4">
        <f>IF(K13="Yes",(M13+P13)*VLOOKUP("IN-34",'Assumptions &amp; Inputs'!$A$31:$F$69,3,FALSE),0)</f>
        <v>0</v>
      </c>
      <c r="U13" s="4">
        <f>IF(K13="Yes",(N13+Q13)*VLOOKUP("IN-34",'Assumptions &amp; Inputs'!$A$31:$F$69,4,FALSE),0)</f>
        <v>0</v>
      </c>
      <c r="V13" s="4">
        <f>IF(K13="Yes",(O13+R13)*VLOOKUP("IN-34",'Assumptions &amp; Inputs'!$A$31:$F$69,5,FALSE),0)</f>
        <v>0</v>
      </c>
      <c r="W13" s="4">
        <f t="shared" si="0"/>
        <v>0</v>
      </c>
      <c r="X13" s="4">
        <f t="shared" si="1"/>
        <v>0</v>
      </c>
      <c r="Y13" s="4">
        <f t="shared" si="2"/>
        <v>0</v>
      </c>
      <c r="Z13" s="49" t="s">
        <v>142</v>
      </c>
      <c r="AA13" s="49" t="s">
        <v>1451</v>
      </c>
      <c r="AB13" s="49" t="s">
        <v>764</v>
      </c>
    </row>
    <row r="14" spans="1:28" ht="43.5" x14ac:dyDescent="0.35">
      <c r="A14" s="40" t="s">
        <v>144</v>
      </c>
      <c r="B14" s="40" t="s">
        <v>145</v>
      </c>
      <c r="C14" s="40" t="s">
        <v>146</v>
      </c>
      <c r="D14" s="40" t="s">
        <v>1505</v>
      </c>
      <c r="E14" s="40" t="s">
        <v>1506</v>
      </c>
      <c r="F14" s="40" t="s">
        <v>1507</v>
      </c>
      <c r="G14" s="40" t="s">
        <v>1508</v>
      </c>
      <c r="H14" s="40" t="s">
        <v>1509</v>
      </c>
      <c r="I14" s="40" t="s">
        <v>1510</v>
      </c>
      <c r="J14" s="40" t="s">
        <v>1511</v>
      </c>
      <c r="K14" s="49" t="s">
        <v>1440</v>
      </c>
      <c r="L14" t="s">
        <v>1441</v>
      </c>
      <c r="M14" s="59">
        <v>80000</v>
      </c>
      <c r="N14" s="59">
        <v>180000</v>
      </c>
      <c r="O14" s="59">
        <v>400000</v>
      </c>
      <c r="P14" s="59">
        <v>50000</v>
      </c>
      <c r="Q14" s="59">
        <v>150000</v>
      </c>
      <c r="R14" s="59">
        <v>400000</v>
      </c>
      <c r="S14" s="60">
        <v>0.3</v>
      </c>
      <c r="T14" s="4">
        <f>IF(K14="Yes",(M14+P14)*VLOOKUP("IN-34",'Assumptions &amp; Inputs'!$A$31:$F$69,3,FALSE),0)</f>
        <v>0</v>
      </c>
      <c r="U14" s="4">
        <f>IF(K14="Yes",(N14+Q14)*VLOOKUP("IN-34",'Assumptions &amp; Inputs'!$A$31:$F$69,4,FALSE),0)</f>
        <v>0</v>
      </c>
      <c r="V14" s="4">
        <f>IF(K14="Yes",(O14+R14)*VLOOKUP("IN-34",'Assumptions &amp; Inputs'!$A$31:$F$69,5,FALSE),0)</f>
        <v>0</v>
      </c>
      <c r="W14" s="4">
        <f t="shared" si="0"/>
        <v>0</v>
      </c>
      <c r="X14" s="4">
        <f t="shared" si="1"/>
        <v>0</v>
      </c>
      <c r="Y14" s="4">
        <f t="shared" si="2"/>
        <v>0</v>
      </c>
      <c r="Z14" s="49" t="s">
        <v>1460</v>
      </c>
      <c r="AA14" s="49" t="s">
        <v>1512</v>
      </c>
      <c r="AB14" s="49" t="s">
        <v>634</v>
      </c>
    </row>
    <row r="15" spans="1:28" ht="29" x14ac:dyDescent="0.35">
      <c r="A15" s="40" t="s">
        <v>147</v>
      </c>
      <c r="B15" s="40" t="s">
        <v>148</v>
      </c>
      <c r="C15" s="40" t="s">
        <v>149</v>
      </c>
      <c r="D15" s="40" t="s">
        <v>1513</v>
      </c>
      <c r="E15" s="40" t="s">
        <v>1514</v>
      </c>
      <c r="F15" s="40" t="s">
        <v>1515</v>
      </c>
      <c r="G15" s="40" t="s">
        <v>1516</v>
      </c>
      <c r="H15" s="40" t="s">
        <v>1517</v>
      </c>
      <c r="I15" s="40" t="s">
        <v>1518</v>
      </c>
      <c r="J15" s="40" t="s">
        <v>1519</v>
      </c>
      <c r="K15" s="49" t="s">
        <v>1440</v>
      </c>
      <c r="L15" t="s">
        <v>1441</v>
      </c>
      <c r="M15" s="59">
        <v>50000</v>
      </c>
      <c r="N15" s="59">
        <v>110000</v>
      </c>
      <c r="O15" s="59">
        <v>250000</v>
      </c>
      <c r="P15" s="59">
        <v>60000</v>
      </c>
      <c r="Q15" s="59">
        <v>150000</v>
      </c>
      <c r="R15" s="59">
        <v>400000</v>
      </c>
      <c r="S15" s="60">
        <v>0.35</v>
      </c>
      <c r="T15" s="4">
        <f>IF(K15="Yes",(M15+P15)*VLOOKUP("IN-34",'Assumptions &amp; Inputs'!$A$31:$F$69,3,FALSE),0)</f>
        <v>0</v>
      </c>
      <c r="U15" s="4">
        <f>IF(K15="Yes",(N15+Q15)*VLOOKUP("IN-34",'Assumptions &amp; Inputs'!$A$31:$F$69,4,FALSE),0)</f>
        <v>0</v>
      </c>
      <c r="V15" s="4">
        <f>IF(K15="Yes",(O15+R15)*VLOOKUP("IN-34",'Assumptions &amp; Inputs'!$A$31:$F$69,5,FALSE),0)</f>
        <v>0</v>
      </c>
      <c r="W15" s="4">
        <f t="shared" si="0"/>
        <v>0</v>
      </c>
      <c r="X15" s="4">
        <f t="shared" si="1"/>
        <v>0</v>
      </c>
      <c r="Y15" s="4">
        <f t="shared" si="2"/>
        <v>0</v>
      </c>
      <c r="Z15" s="49" t="s">
        <v>1460</v>
      </c>
      <c r="AA15" s="49" t="s">
        <v>1520</v>
      </c>
      <c r="AB15" s="49" t="s">
        <v>764</v>
      </c>
    </row>
    <row r="16" spans="1:28" ht="29" x14ac:dyDescent="0.35">
      <c r="A16" s="40" t="s">
        <v>150</v>
      </c>
      <c r="B16" s="40" t="s">
        <v>151</v>
      </c>
      <c r="C16" s="40" t="s">
        <v>152</v>
      </c>
      <c r="D16" s="40" t="s">
        <v>1521</v>
      </c>
      <c r="E16" s="40" t="s">
        <v>1522</v>
      </c>
      <c r="F16" s="40" t="s">
        <v>1523</v>
      </c>
      <c r="G16" s="40" t="s">
        <v>1524</v>
      </c>
      <c r="H16" s="40" t="s">
        <v>1525</v>
      </c>
      <c r="I16" s="40" t="s">
        <v>1526</v>
      </c>
      <c r="J16" s="40" t="s">
        <v>1527</v>
      </c>
      <c r="K16" s="49" t="s">
        <v>1440</v>
      </c>
      <c r="L16" t="s">
        <v>1441</v>
      </c>
      <c r="M16" s="59">
        <v>40000</v>
      </c>
      <c r="N16" s="59">
        <v>90000</v>
      </c>
      <c r="O16" s="59">
        <v>200000</v>
      </c>
      <c r="P16" s="59">
        <v>5000</v>
      </c>
      <c r="Q16" s="59">
        <v>15000</v>
      </c>
      <c r="R16" s="59">
        <v>40000</v>
      </c>
      <c r="S16" s="60">
        <v>0.3</v>
      </c>
      <c r="T16" s="4">
        <f>IF(K16="Yes",(M16+P16)*VLOOKUP("IN-34",'Assumptions &amp; Inputs'!$A$31:$F$69,3,FALSE),0)</f>
        <v>0</v>
      </c>
      <c r="U16" s="4">
        <f>IF(K16="Yes",(N16+Q16)*VLOOKUP("IN-34",'Assumptions &amp; Inputs'!$A$31:$F$69,4,FALSE),0)</f>
        <v>0</v>
      </c>
      <c r="V16" s="4">
        <f>IF(K16="Yes",(O16+R16)*VLOOKUP("IN-34",'Assumptions &amp; Inputs'!$A$31:$F$69,5,FALSE),0)</f>
        <v>0</v>
      </c>
      <c r="W16" s="4">
        <f t="shared" si="0"/>
        <v>0</v>
      </c>
      <c r="X16" s="4">
        <f t="shared" si="1"/>
        <v>0</v>
      </c>
      <c r="Y16" s="4">
        <f t="shared" si="2"/>
        <v>0</v>
      </c>
      <c r="Z16" s="49" t="s">
        <v>1528</v>
      </c>
      <c r="AA16" s="49" t="s">
        <v>1529</v>
      </c>
      <c r="AB16" s="49" t="s">
        <v>1031</v>
      </c>
    </row>
  </sheetData>
  <mergeCells count="2">
    <mergeCell ref="A1:J1"/>
    <mergeCell ref="A2:J2"/>
  </mergeCells>
  <dataValidations count="1">
    <dataValidation type="list" sqref="K5:K16" xr:uid="{00000000-0002-0000-0600-000000000000}">
      <formula1>"No,Yes"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6817CEFCC564995E8CAA72CB32918" ma:contentTypeVersion="7" ma:contentTypeDescription="Create a new document." ma:contentTypeScope="" ma:versionID="e894335b9b243540ae6243acdc269b81">
  <xsd:schema xmlns:xsd="http://www.w3.org/2001/XMLSchema" xmlns:xs="http://www.w3.org/2001/XMLSchema" xmlns:p="http://schemas.microsoft.com/office/2006/metadata/properties" xmlns:ns2="793adcac-3b98-4aca-9df3-34cef3b41fec" targetNamespace="http://schemas.microsoft.com/office/2006/metadata/properties" ma:root="true" ma:fieldsID="a0ff3f0ee427ed46b030fc15f9646647" ns2:_="">
    <xsd:import namespace="793adcac-3b98-4aca-9df3-34cef3b41f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adcac-3b98-4aca-9df3-34cef3b41f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421FAB-C1E6-450C-BA29-677668A30D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E50F618-1DAA-415B-A5E2-253778D144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35C671-6E5D-494E-9CD9-FC9A2B3E5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3adcac-3b98-4aca-9df3-34cef3b41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Scenario Definitions</vt:lpstr>
      <vt:lpstr>Assumptions &amp; Inputs</vt:lpstr>
      <vt:lpstr>Cost Build-Up</vt:lpstr>
      <vt:lpstr>Optional Add-Ons Build-Up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Hunter</dc:creator>
  <cp:keywords/>
  <dc:description/>
  <cp:lastModifiedBy>Mike Hunter</cp:lastModifiedBy>
  <cp:revision/>
  <dcterms:created xsi:type="dcterms:W3CDTF">2026-07-20T22:27:26Z</dcterms:created>
  <dcterms:modified xsi:type="dcterms:W3CDTF">2026-07-31T20:05:05Z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0x0101007BB6817CEFCC564995E8CAA72CB32918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2026-07-21T16:00:32Z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aad54c2f-9cca-408c-a9e6-db3b37e5acab</vt:lpwstr>
  </property>
  <property fmtid="{D5CDD505-2E9C-101B-9397-08002B2CF9AE}" pid="9" name="MSIP_Label_7b94a7b8-f06c-4dfe-bdcc-9b548fd58c31_ContentBits">
    <vt:lpwstr>0</vt:lpwstr>
  </property>
  <property fmtid="{D5CDD505-2E9C-101B-9397-08002B2CF9AE}" pid="10" name="MSIP_Label_7b94a7b8-f06c-4dfe-bdcc-9b548fd58c31_Tag">
    <vt:lpwstr>10, 0, 1, 2</vt:lpwstr>
  </property>
</Properties>
</file>